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mu-my.sharepoint.com/personal/aldygunawan_smu_edu_sg1/Documents/MITBSpreadsheetUPDATED/MITB C2 2024 T1/Session 2 - Spreadsheet Engineering/"/>
    </mc:Choice>
  </mc:AlternateContent>
  <xr:revisionPtr revIDLastSave="91" documentId="11_98805889E6B60D25E6FD60401FA4D8667C0663E7" xr6:coauthVersionLast="47" xr6:coauthVersionMax="47" xr10:uidLastSave="{7924D2B8-5B19-4BD8-A524-A3AB75DBF26B}"/>
  <bookViews>
    <workbookView xWindow="-120" yWindow="-120" windowWidth="29040" windowHeight="15840" tabRatio="878" activeTab="14" xr2:uid="{00000000-000D-0000-FFFF-FFFF00000000}"/>
  </bookViews>
  <sheets>
    <sheet name="Home" sheetId="19" r:id="rId1"/>
    <sheet name="Learn" sheetId="32" r:id="rId2"/>
    <sheet name="Data" sheetId="2" r:id="rId3"/>
    <sheet name="Scratch" sheetId="25" r:id="rId4"/>
    <sheet name="Working" sheetId="31" r:id="rId5"/>
    <sheet name="Influence" sheetId="20" r:id="rId6"/>
    <sheet name="Black-Box" sheetId="21" r:id="rId7"/>
    <sheet name="FormulaAudit" sheetId="28" r:id="rId8"/>
    <sheet name="Proto" sheetId="24" r:id="rId9"/>
    <sheet name="Demand" sheetId="5" r:id="rId10"/>
    <sheet name="Proto(2)" sheetId="26" r:id="rId11"/>
    <sheet name="Model" sheetId="6" r:id="rId12"/>
    <sheet name="Model(2)" sheetId="17" r:id="rId13"/>
    <sheet name="Tradeoff" sheetId="22" r:id="rId14"/>
    <sheet name="Sensitivity" sheetId="23" r:id="rId15"/>
  </sheets>
  <definedNames>
    <definedName name="_xlnm.Print_Area" localSheetId="0">Home!$A$1:$K$52</definedName>
    <definedName name="_xlnm.Print_Area" localSheetId="12">'Model(2)'!$A$1:$P$34</definedName>
    <definedName name="Z_18D261E6_8F6E_4DCF_A3D9_294C7EF5648B_.wvu.Cols" localSheetId="11" hidden="1">Model!$D:$N</definedName>
    <definedName name="Z_18D261E6_8F6E_4DCF_A3D9_294C7EF5648B_.wvu.PrintArea" localSheetId="0" hidden="1">Home!$A$1:$K$52</definedName>
    <definedName name="Z_18D261E6_8F6E_4DCF_A3D9_294C7EF5648B_.wvu.PrintArea" localSheetId="12" hidden="1">'Model(2)'!$A$1:$P$34</definedName>
    <definedName name="Z_41690409_2766_4911_B71D_0C470EB1EC9C_.wvu.PrintArea" localSheetId="0" hidden="1">Home!$A$1:$K$52</definedName>
    <definedName name="Z_41690409_2766_4911_B71D_0C470EB1EC9C_.wvu.PrintArea" localSheetId="12" hidden="1">'Model(2)'!$A$1:$P$34</definedName>
  </definedNames>
  <calcPr calcId="191029"/>
  <customWorkbookViews>
    <customWorkbookView name="Start" guid="{18D261E6-8F6E-4DCF-A3D9-294C7EF5648B}" maximized="1" windowWidth="1436" windowHeight="621" tabRatio="861" activeSheetId="6"/>
    <customWorkbookView name="Neat" guid="{41690409-2766-4911-B71D-0C470EB1EC9C}" maximized="1" windowWidth="1020" windowHeight="535" tabRatio="861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8" l="1"/>
  <c r="N4" i="17"/>
  <c r="O4" i="17" s="1"/>
  <c r="C18" i="6"/>
  <c r="C27" i="6" s="1"/>
  <c r="C21" i="26"/>
  <c r="C20" i="26"/>
  <c r="D18" i="6"/>
  <c r="D27" i="6" s="1"/>
  <c r="E18" i="6"/>
  <c r="E27" i="6" s="1"/>
  <c r="F18" i="6"/>
  <c r="F27" i="6"/>
  <c r="F19" i="6"/>
  <c r="F28" i="6"/>
  <c r="G18" i="6"/>
  <c r="G27" i="6" s="1"/>
  <c r="H18" i="6"/>
  <c r="H27" i="6"/>
  <c r="H19" i="6"/>
  <c r="H28" i="6"/>
  <c r="I18" i="6"/>
  <c r="I27" i="6" s="1"/>
  <c r="J18" i="6"/>
  <c r="J27" i="6"/>
  <c r="J19" i="6"/>
  <c r="J28" i="6"/>
  <c r="K18" i="6"/>
  <c r="K27" i="6" s="1"/>
  <c r="L18" i="6"/>
  <c r="L27" i="6"/>
  <c r="L19" i="6"/>
  <c r="L28" i="6"/>
  <c r="M18" i="6"/>
  <c r="M27" i="6" s="1"/>
  <c r="N18" i="6"/>
  <c r="N19" i="6" s="1"/>
  <c r="N27" i="6"/>
  <c r="E24" i="6"/>
  <c r="F24" i="6"/>
  <c r="F25" i="6"/>
  <c r="H24" i="6"/>
  <c r="H30" i="6" s="1"/>
  <c r="H25" i="6"/>
  <c r="J24" i="6"/>
  <c r="J25" i="6"/>
  <c r="L24" i="6"/>
  <c r="L30" i="6" s="1"/>
  <c r="L25" i="6"/>
  <c r="N24" i="6"/>
  <c r="M20" i="6"/>
  <c r="N20" i="6"/>
  <c r="M21" i="6"/>
  <c r="N21" i="6"/>
  <c r="K20" i="6"/>
  <c r="L20" i="6"/>
  <c r="K21" i="6"/>
  <c r="L21" i="6"/>
  <c r="F30" i="6"/>
  <c r="J30" i="6"/>
  <c r="H31" i="6"/>
  <c r="H20" i="6"/>
  <c r="I20" i="6"/>
  <c r="J20" i="6"/>
  <c r="H21" i="6"/>
  <c r="I21" i="6"/>
  <c r="J21" i="6"/>
  <c r="D20" i="6"/>
  <c r="E20" i="6"/>
  <c r="F20" i="6"/>
  <c r="G20" i="6"/>
  <c r="D21" i="6"/>
  <c r="E21" i="6"/>
  <c r="F21" i="6"/>
  <c r="G21" i="6"/>
  <c r="C21" i="6"/>
  <c r="C20" i="6"/>
  <c r="N28" i="6" l="1"/>
  <c r="N29" i="6" s="1"/>
  <c r="N25" i="6"/>
  <c r="N31" i="6" s="1"/>
  <c r="J31" i="6"/>
  <c r="G24" i="6"/>
  <c r="F31" i="6"/>
  <c r="K24" i="6"/>
  <c r="K30" i="6" s="1"/>
  <c r="M24" i="6"/>
  <c r="M30" i="6" s="1"/>
  <c r="I24" i="6"/>
  <c r="L26" i="6"/>
  <c r="M19" i="6"/>
  <c r="K19" i="6"/>
  <c r="K28" i="6" s="1"/>
  <c r="I19" i="6"/>
  <c r="I28" i="6" s="1"/>
  <c r="I29" i="6" s="1"/>
  <c r="G19" i="6"/>
  <c r="E19" i="6"/>
  <c r="D24" i="6"/>
  <c r="D30" i="6" s="1"/>
  <c r="D19" i="6"/>
  <c r="L31" i="6"/>
  <c r="C24" i="6"/>
  <c r="C30" i="6" s="1"/>
  <c r="C19" i="6"/>
  <c r="I5" i="28"/>
  <c r="N30" i="6"/>
  <c r="H26" i="6"/>
  <c r="N5" i="17"/>
  <c r="O5" i="17" s="1"/>
  <c r="O6" i="17" s="1"/>
  <c r="C9" i="17" s="1"/>
  <c r="N26" i="6"/>
  <c r="J26" i="6"/>
  <c r="F26" i="6"/>
  <c r="L29" i="6"/>
  <c r="L32" i="6" s="1"/>
  <c r="L33" i="6" s="1"/>
  <c r="J29" i="6"/>
  <c r="H29" i="6"/>
  <c r="F29" i="6"/>
  <c r="I30" i="6"/>
  <c r="G30" i="6"/>
  <c r="E30" i="6"/>
  <c r="K29" i="6"/>
  <c r="G8" i="28"/>
  <c r="I12" i="28" s="1"/>
  <c r="N32" i="6" l="1"/>
  <c r="N33" i="6" s="1"/>
  <c r="K8" i="28"/>
  <c r="I25" i="6"/>
  <c r="E28" i="6"/>
  <c r="E29" i="6" s="1"/>
  <c r="E25" i="6"/>
  <c r="F32" i="6"/>
  <c r="F33" i="6" s="1"/>
  <c r="K25" i="6"/>
  <c r="K26" i="6" s="1"/>
  <c r="K32" i="6" s="1"/>
  <c r="K33" i="6" s="1"/>
  <c r="M28" i="6"/>
  <c r="M29" i="6" s="1"/>
  <c r="M25" i="6"/>
  <c r="G28" i="6"/>
  <c r="G29" i="6" s="1"/>
  <c r="G25" i="6"/>
  <c r="D28" i="6"/>
  <c r="D29" i="6" s="1"/>
  <c r="D25" i="6"/>
  <c r="C28" i="6"/>
  <c r="C29" i="6" s="1"/>
  <c r="C25" i="6"/>
  <c r="H32" i="6"/>
  <c r="H33" i="6" s="1"/>
  <c r="J32" i="6"/>
  <c r="J33" i="6" s="1"/>
  <c r="K20" i="28"/>
  <c r="M13" i="28" s="1"/>
  <c r="G26" i="6" l="1"/>
  <c r="G32" i="6" s="1"/>
  <c r="G33" i="6" s="1"/>
  <c r="G31" i="6"/>
  <c r="E26" i="6"/>
  <c r="E31" i="6"/>
  <c r="E32" i="6"/>
  <c r="E33" i="6" s="1"/>
  <c r="K31" i="6"/>
  <c r="M26" i="6"/>
  <c r="M32" i="6" s="1"/>
  <c r="M33" i="6" s="1"/>
  <c r="M31" i="6"/>
  <c r="I26" i="6"/>
  <c r="I32" i="6" s="1"/>
  <c r="I33" i="6" s="1"/>
  <c r="I31" i="6"/>
  <c r="D26" i="6"/>
  <c r="D32" i="6" s="1"/>
  <c r="D33" i="6" s="1"/>
  <c r="D31" i="6"/>
  <c r="C26" i="6"/>
  <c r="C32" i="6" s="1"/>
  <c r="C33" i="6" s="1"/>
  <c r="C31" i="6"/>
</calcChain>
</file>

<file path=xl/sharedStrings.xml><?xml version="1.0" encoding="utf-8"?>
<sst xmlns="http://schemas.openxmlformats.org/spreadsheetml/2006/main" count="371" uniqueCount="248">
  <si>
    <t xml:space="preserve">Epson Stylus 
C43SX (2880x720dpi) </t>
  </si>
  <si>
    <t>Canon i255
(4800x1200dpi)</t>
  </si>
  <si>
    <t>Lexmark Z617
(4800x1200dpi)</t>
  </si>
  <si>
    <t>Influence Diagram</t>
  </si>
  <si>
    <t>Decisions (Controllable)</t>
  </si>
  <si>
    <t>Parameters (Uncontrollable)</t>
  </si>
  <si>
    <t>Performance Measures</t>
  </si>
  <si>
    <t>Consequence Variables</t>
  </si>
  <si>
    <t>Printer Price</t>
  </si>
  <si>
    <t>Printer Demand</t>
  </si>
  <si>
    <t>Printer Revenue</t>
  </si>
  <si>
    <t>Decision Variables</t>
  </si>
  <si>
    <t>Total Cost</t>
  </si>
  <si>
    <t>Parameters</t>
  </si>
  <si>
    <t>Definitions</t>
  </si>
  <si>
    <t xml:space="preserve">   Parameter</t>
  </si>
  <si>
    <t>= Output (computed) variable with value of key interest to the user</t>
  </si>
  <si>
    <t>= Output (computed) variable with value produced in the calculations</t>
  </si>
  <si>
    <t xml:space="preserve">   Consequence Variable</t>
  </si>
  <si>
    <t>= Input variable with value to be decided by the user (controllable)</t>
  </si>
  <si>
    <t>= Input variable with value given or assumed (uncontrollable)</t>
  </si>
  <si>
    <t xml:space="preserve">   Decision</t>
  </si>
  <si>
    <t xml:space="preserve">   Performance Measure</t>
  </si>
  <si>
    <t xml:space="preserve">  Intercept</t>
  </si>
  <si>
    <t>Physical Results</t>
  </si>
  <si>
    <t>Total Revenue</t>
  </si>
  <si>
    <t>Intercept</t>
  </si>
  <si>
    <t>Printer</t>
  </si>
  <si>
    <t>Printer Unit Cost</t>
  </si>
  <si>
    <t>Profit</t>
  </si>
  <si>
    <t>Cartridge Revenue</t>
  </si>
  <si>
    <t>Price List</t>
  </si>
  <si>
    <t>Comments</t>
  </si>
  <si>
    <t>Slope</t>
  </si>
  <si>
    <t>Cartridge Unit Cost</t>
  </si>
  <si>
    <t>Cartridge Price</t>
  </si>
  <si>
    <t>Cartridge Demand</t>
  </si>
  <si>
    <t>HP Deskjet 3744
(4800x1200dpi)</t>
  </si>
  <si>
    <t>Assumptions</t>
  </si>
  <si>
    <t xml:space="preserve">  Slope</t>
  </si>
  <si>
    <t>Printer Demand
(' 000 Units)</t>
  </si>
  <si>
    <t>2. Otherwise, printer demand depends only on its price.</t>
  </si>
  <si>
    <t>3. Cartridge demand depends only on number of printers sold.</t>
  </si>
  <si>
    <t>Instructions</t>
  </si>
  <si>
    <t>Inkjet Printer</t>
  </si>
  <si>
    <t>Documentation</t>
  </si>
  <si>
    <t>C6</t>
  </si>
  <si>
    <t>C10</t>
  </si>
  <si>
    <t>C11</t>
  </si>
  <si>
    <t>C12</t>
  </si>
  <si>
    <t>C13</t>
  </si>
  <si>
    <t>C14</t>
  </si>
  <si>
    <t>C19</t>
  </si>
  <si>
    <t>C20</t>
  </si>
  <si>
    <t>C21</t>
  </si>
  <si>
    <t>C25</t>
  </si>
  <si>
    <t>C26</t>
  </si>
  <si>
    <t>C27</t>
  </si>
  <si>
    <t>C28</t>
  </si>
  <si>
    <t>C29</t>
  </si>
  <si>
    <t>C30</t>
  </si>
  <si>
    <t>C31</t>
  </si>
  <si>
    <t>C32</t>
  </si>
  <si>
    <t>Ink Cartridge</t>
  </si>
  <si>
    <t>Lexmark 12A1980</t>
  </si>
  <si>
    <t>Canon BCI24</t>
  </si>
  <si>
    <t>Epson T039090</t>
  </si>
  <si>
    <t>HP 14</t>
  </si>
  <si>
    <t>C15</t>
  </si>
  <si>
    <t>C33</t>
  </si>
  <si>
    <t>=C26-C29</t>
  </si>
  <si>
    <t>=C25-C28</t>
  </si>
  <si>
    <t>Demand Function</t>
  </si>
  <si>
    <t>Cartridge-Printer</t>
  </si>
  <si>
    <t>Total</t>
  </si>
  <si>
    <t>Cartridge</t>
  </si>
  <si>
    <t>Demand ('000)</t>
  </si>
  <si>
    <t>Sensitivity Analysis</t>
  </si>
  <si>
    <t>Tradeoff Analysis</t>
  </si>
  <si>
    <t>When you have completed this worksheet, compare your working with the "Model" worksheet.</t>
  </si>
  <si>
    <t>Fill in the table (on the left) with the data below and use formulas to complete the rest of the table.</t>
  </si>
  <si>
    <t>Search the Internet for newer models and prices.</t>
  </si>
  <si>
    <t>What are the possible questions to ask to help establish the price-demand relationship?</t>
  </si>
  <si>
    <t>Is this function linear?</t>
  </si>
  <si>
    <t>If not, how would such a function be determined?</t>
  </si>
  <si>
    <t>Questions</t>
  </si>
  <si>
    <t>Cost</t>
  </si>
  <si>
    <t>Fixed Cost</t>
  </si>
  <si>
    <t>Printer demand will not exceed 10,000 even if it is given away free.</t>
  </si>
  <si>
    <t>Demand for printers is price elastic.  For every $10 price increase, demand falls by 600 units.</t>
  </si>
  <si>
    <t>Shouldn't there be a fixed cost?  How do we guess that for the product line being studied?</t>
  </si>
  <si>
    <t>=$C10*C19</t>
  </si>
  <si>
    <t>Rough Model</t>
  </si>
  <si>
    <t>Modeling Basics</t>
  </si>
  <si>
    <t>Question</t>
  </si>
  <si>
    <t>toggleArrows</t>
  </si>
  <si>
    <t>Brainstorm</t>
  </si>
  <si>
    <t>Copyright © Leong Thin Yin, 2007.  All Rights Reserved.</t>
  </si>
  <si>
    <t>C5</t>
  </si>
  <si>
    <t>C9</t>
  </si>
  <si>
    <t>C18</t>
  </si>
  <si>
    <t>C24</t>
  </si>
  <si>
    <t>=C5*C18</t>
  </si>
  <si>
    <t>=$C6*C19</t>
  </si>
  <si>
    <t>=C24+C25</t>
  </si>
  <si>
    <t>=$C9*C18</t>
  </si>
  <si>
    <t>=C27+C28+$C11</t>
  </si>
  <si>
    <t>=C24-C27</t>
  </si>
  <si>
    <t>=C32/C26</t>
  </si>
  <si>
    <t>Select View / Custom Views to see different views.</t>
  </si>
  <si>
    <t>Price (US$)</t>
  </si>
  <si>
    <t>Financial Results (US$ '000)</t>
  </si>
  <si>
    <t>It is unlikely that any one would buy the printer if the price is about $250.</t>
  </si>
  <si>
    <t>Printer Price
(US$)</t>
  </si>
  <si>
    <t>Profit (US$ '000)</t>
  </si>
  <si>
    <t>Black-Box Model</t>
  </si>
  <si>
    <t>1. Printer demand is 0 when cartridge price is greater than 2/3 of printer price.</t>
  </si>
  <si>
    <t>Printer price</t>
  </si>
  <si>
    <t>Cartridge price</t>
  </si>
  <si>
    <t>Printer unit cost</t>
  </si>
  <si>
    <t>Cartridge unit cost</t>
  </si>
  <si>
    <t>Fixed cost</t>
  </si>
  <si>
    <t>Cartridge / Printer price ratio</t>
  </si>
  <si>
    <t>Cartridge per printer</t>
  </si>
  <si>
    <t>Demand function: Intercept</t>
  </si>
  <si>
    <t>Printer demand</t>
  </si>
  <si>
    <t>Cartridge demand</t>
  </si>
  <si>
    <t>Printer profit margin</t>
  </si>
  <si>
    <t>Cartridge profit margin</t>
  </si>
  <si>
    <t>Printer revenue</t>
  </si>
  <si>
    <t>Cartridge revenue</t>
  </si>
  <si>
    <t>Total revenue</t>
  </si>
  <si>
    <t>Printer cost</t>
  </si>
  <si>
    <t>Cartridge cost</t>
  </si>
  <si>
    <t>Total cost</t>
  </si>
  <si>
    <t>Printer profit</t>
  </si>
  <si>
    <t>Cartridge profit</t>
  </si>
  <si>
    <t>Printer price (US$)</t>
  </si>
  <si>
    <t>Cartridge price (US$)</t>
  </si>
  <si>
    <t>Printer unit cost (US$)</t>
  </si>
  <si>
    <t>Cartridge unit cost (US$)</t>
  </si>
  <si>
    <t>Fixed cost (US$ '000)</t>
  </si>
  <si>
    <t>Cartridge price / Printer price ≤</t>
  </si>
  <si>
    <t>Printer demand ('000)</t>
  </si>
  <si>
    <t>Cartridge demand ('000)</t>
  </si>
  <si>
    <t>Profit margin</t>
  </si>
  <si>
    <t>Price ratio ≤</t>
  </si>
  <si>
    <t>Cartridge
per printer</t>
  </si>
  <si>
    <t>Demand 
slope</t>
  </si>
  <si>
    <t>Catridge per printer</t>
  </si>
  <si>
    <t>Decisions</t>
  </si>
  <si>
    <t>What if, after implementing the suggested prices, the profit turns out to be different (less or more) than computed?</t>
  </si>
  <si>
    <r>
      <rPr>
        <sz val="10"/>
        <rFont val="Arial"/>
        <family val="2"/>
      </rPr>
      <t xml:space="preserve">The term </t>
    </r>
    <r>
      <rPr>
        <b/>
        <sz val="10"/>
        <rFont val="Arial"/>
        <family val="2"/>
      </rPr>
      <t>Tradeoff Analysis</t>
    </r>
    <r>
      <rPr>
        <sz val="10"/>
        <rFont val="Arial"/>
        <family val="2"/>
      </rPr>
      <t xml:space="preserve"> is used when decision variable values are changed to examine how performance measures "tradeoff" against each other.</t>
    </r>
  </si>
  <si>
    <r>
      <rPr>
        <sz val="10"/>
        <rFont val="Arial"/>
        <family val="2"/>
      </rPr>
      <t xml:space="preserve">The term </t>
    </r>
    <r>
      <rPr>
        <b/>
        <sz val="10"/>
        <rFont val="Arial"/>
        <family val="2"/>
      </rPr>
      <t>Sensitivity Analysis</t>
    </r>
    <r>
      <rPr>
        <sz val="10"/>
        <rFont val="Arial"/>
        <family val="2"/>
      </rPr>
      <t xml:space="preserve"> is used when uncontrollable parameter values are changed to examine how "sensitive" performance measures are to</t>
    </r>
  </si>
  <si>
    <t xml:space="preserve"> their changes. A sensitivity analysis is performed here to evaluate the impact of changes in printer and ink cartridge costs on the overall profit.</t>
  </si>
  <si>
    <t>In the preceding (Model) worksheet, a tradeoff analysis is done on printer prices.</t>
  </si>
  <si>
    <t>11 Nov 2009 / LeongTY</t>
  </si>
  <si>
    <t xml:space="preserve">  </t>
  </si>
  <si>
    <t xml:space="preserve">   </t>
  </si>
  <si>
    <t>This exercise was written as a basis for class discussion. It illustrates neither the effective nor ineffective</t>
  </si>
  <si>
    <t>management of the given situation. Data provided may be entirely hypothetical.</t>
  </si>
  <si>
    <t>Epson, Canon, Lexmark, and Hewlett Packard - each produces a range of printers that uses ink as the</t>
  </si>
  <si>
    <t>print medium. Their ink cartridges employ proprietary technology and therefore can only be purchased</t>
  </si>
  <si>
    <t>from their respective companies. Prices of inkjet printers have been dropping, even as their print quality</t>
  </si>
  <si>
    <t>continues to improve, so much so that they are now almost as good as laser printers.</t>
  </si>
  <si>
    <t>It is hard to believe how the manufacturers can produce such excellent products at costs low enough for</t>
  </si>
  <si>
    <t>them to be sold at such competitive prices that they are practically ubiquitous in every office. Can there</t>
  </si>
  <si>
    <t>be reasons other than a low printer production cost?</t>
  </si>
  <si>
    <t>Copyright © Leong Thin Yin, 2008. All Rights Reserved.</t>
  </si>
  <si>
    <t xml:space="preserve"> </t>
  </si>
  <si>
    <r>
      <t>Steps: Model Building</t>
    </r>
    <r>
      <rPr>
        <sz val="10"/>
        <rFont val="Arial"/>
        <family val="2"/>
      </rPr>
      <t xml:space="preserve"> (individually or collectively)</t>
    </r>
  </si>
  <si>
    <t>Suggestions: Excel Model Layout and Format</t>
  </si>
  <si>
    <t>▪  Start by drawing the Influence diagram.</t>
  </si>
  <si>
    <t>Remember that the spreadsheet model you constructed may not be so easily understood by others</t>
  </si>
  <si>
    <t xml:space="preserve">    ▫  Identify variables and represent them with boxes.</t>
  </si>
  <si>
    <t>and possibly after time not even by yourself if you do not put in some effort to make it user-friendly</t>
  </si>
  <si>
    <t xml:space="preserve">    ▫  Use arrow connectors to link boxes to show how variables influence one another.</t>
  </si>
  <si>
    <t>(in view, use, print and photocopy).</t>
  </si>
  <si>
    <r>
      <t xml:space="preserve">    ▫  Use font and shade colors to mark out </t>
    </r>
    <r>
      <rPr>
        <i/>
        <sz val="10"/>
        <rFont val="Arial"/>
        <family val="2"/>
      </rPr>
      <t>Input Variables</t>
    </r>
    <r>
      <rPr>
        <sz val="10"/>
        <rFont val="Arial"/>
        <family val="2"/>
      </rPr>
      <t xml:space="preserve"> (decisions and parameters).</t>
    </r>
  </si>
  <si>
    <r>
      <t xml:space="preserve">    ▫  Use font and shade colors to mark out </t>
    </r>
    <r>
      <rPr>
        <i/>
        <sz val="10"/>
        <rFont val="Arial"/>
        <family val="2"/>
      </rPr>
      <t>Output Variables</t>
    </r>
    <r>
      <rPr>
        <sz val="10"/>
        <rFont val="Arial"/>
        <family val="2"/>
      </rPr>
      <t xml:space="preserve"> (performance measures and</t>
    </r>
  </si>
  <si>
    <t>▪  Present data together (grouping by type) and clearly label them accordingly.</t>
  </si>
  <si>
    <t xml:space="preserve">       consequence variables).</t>
  </si>
  <si>
    <t xml:space="preserve">    ▫  Put input cells at the top portion of the worksheet.</t>
  </si>
  <si>
    <t>▪  Summarize the Influence diagram into a Black-box model.</t>
  </si>
  <si>
    <t xml:space="preserve">    ▫  Put output cells near the top, just below the inputs.</t>
  </si>
  <si>
    <t xml:space="preserve">    ▫  Add notes near top to provide information or user instructions to guide the user.</t>
  </si>
  <si>
    <t>▪  Build a simple Excel model based on these two diagrams.</t>
  </si>
  <si>
    <t xml:space="preserve">    ▫  Put working tables distinctly at the bottom (so as not to crowd out the inputs and outputs).</t>
  </si>
  <si>
    <t>▪  Refine model by questioning assumptions.</t>
  </si>
  <si>
    <t xml:space="preserve">        This also allows the table to be easily extended further below if needed.</t>
  </si>
  <si>
    <t xml:space="preserve">    ▫  Add some documentation below that, or to another page on the right, to show formulas of key cells.</t>
  </si>
  <si>
    <r>
      <t xml:space="preserve">▪  Analyze </t>
    </r>
    <r>
      <rPr>
        <i/>
        <sz val="10"/>
        <rFont val="Arial"/>
        <family val="2"/>
      </rPr>
      <t>Trade-offs</t>
    </r>
    <r>
      <rPr>
        <sz val="10"/>
        <rFont val="Arial"/>
        <family val="2"/>
      </rPr>
      <t xml:space="preserve"> by changing the values of key controllable inputs (decisions).</t>
    </r>
  </si>
  <si>
    <r>
      <t xml:space="preserve">        While the keying </t>
    </r>
    <r>
      <rPr>
        <b/>
        <sz val="10"/>
        <rFont val="Arial"/>
        <family val="2"/>
      </rPr>
      <t>Ctrl + '</t>
    </r>
    <r>
      <rPr>
        <sz val="10"/>
        <rFont val="Arial"/>
        <family val="2"/>
      </rPr>
      <t xml:space="preserve"> toggles the worksheet to show all values or all formulas, having</t>
    </r>
  </si>
  <si>
    <t>▪  Derive actionable recommendations.</t>
  </si>
  <si>
    <t xml:space="preserve">        the formulas displayed alongside their values and limiting the formula displayed to only the key</t>
  </si>
  <si>
    <t xml:space="preserve">        cells will help you and others better understand the spreadsheet model.</t>
  </si>
  <si>
    <r>
      <t xml:space="preserve">▪  Perform </t>
    </r>
    <r>
      <rPr>
        <i/>
        <sz val="10"/>
        <rFont val="Arial"/>
        <family val="2"/>
      </rPr>
      <t>Sensitivity Analysis</t>
    </r>
    <r>
      <rPr>
        <sz val="10"/>
        <rFont val="Arial"/>
        <family val="2"/>
      </rPr>
      <t xml:space="preserve"> by changing the values of uncontrollable inputs (parameters).</t>
    </r>
  </si>
  <si>
    <t>▪  All input data should need to be entered only once. Multiple entry of the same data can lead to errors.</t>
  </si>
  <si>
    <t>▪  Evaluate if recommendations are still valid and add contingency measures</t>
  </si>
  <si>
    <t>▪  Store all values in separate cells as data and refer to them in formulas by cell references.</t>
  </si>
  <si>
    <t>▪  Clarify the objective, state assumptions and limitations of model.</t>
  </si>
  <si>
    <t>▪  State unit of measure, where appropriate.</t>
  </si>
  <si>
    <t>▪  Have a clear understanding of how users are to use the model:</t>
  </si>
  <si>
    <t xml:space="preserve">    ▫  Draw a UML Use-Case diagram to show the actors and functionalities.</t>
  </si>
  <si>
    <t xml:space="preserve">▪   Use a consistent format scheme (bold/underline/italic font, indent, fill color) to simply model use </t>
  </si>
  <si>
    <t xml:space="preserve">    ▫  Draw a workflow diagram (with swim-lanes if needed) to show the normal work process.</t>
  </si>
  <si>
    <t xml:space="preserve">    (for data entry and results intepretation).</t>
  </si>
  <si>
    <t>▪  The icon on the right is a suggested scheme: inputs are in blue, violet and</t>
  </si>
  <si>
    <t xml:space="preserve">    green according to whether they are decisions, parameters or historical</t>
  </si>
  <si>
    <t xml:space="preserve">    variables, and outputs are black with the key ones highlighted in increasing</t>
  </si>
  <si>
    <t xml:space="preserve">    brighter shades of yellow.</t>
  </si>
  <si>
    <t>▪  Fit the complete model nicely within the computer screen, if possible with</t>
  </si>
  <si>
    <t xml:space="preserve">    minimal need for scrolling.</t>
  </si>
  <si>
    <t>▪  Ensure input cells have valid data and protect other cells against tampering:</t>
  </si>
  <si>
    <r>
      <t xml:space="preserve">    ▫   Add </t>
    </r>
    <r>
      <rPr>
        <b/>
        <sz val="10"/>
        <rFont val="Arial"/>
        <family val="2"/>
      </rPr>
      <t>Data/Data Validation</t>
    </r>
    <r>
      <rPr>
        <sz val="10"/>
        <rFont val="Arial"/>
        <family val="2"/>
      </rPr>
      <t xml:space="preserve"> to ensure only appropriate data can be entered.</t>
    </r>
  </si>
  <si>
    <r>
      <t xml:space="preserve">    ▫  Select input cells (to be unprotected), click </t>
    </r>
    <r>
      <rPr>
        <b/>
        <sz val="10"/>
        <rFont val="Arial"/>
        <family val="2"/>
      </rPr>
      <t>Format</t>
    </r>
    <r>
      <rPr>
        <sz val="10"/>
        <rFont val="Arial"/>
        <family val="2"/>
      </rPr>
      <t xml:space="preserve"> in the </t>
    </r>
    <r>
      <rPr>
        <b/>
        <sz val="10"/>
        <rFont val="Arial"/>
        <family val="2"/>
      </rPr>
      <t>Home</t>
    </r>
    <r>
      <rPr>
        <sz val="10"/>
        <rFont val="Arial"/>
        <family val="2"/>
      </rPr>
      <t xml:space="preserve"> tab and tick-off </t>
    </r>
    <r>
      <rPr>
        <b/>
        <sz val="10"/>
        <rFont val="Arial"/>
        <family val="2"/>
      </rPr>
      <t>Locked Cell</t>
    </r>
    <r>
      <rPr>
        <sz val="10"/>
        <rFont val="Arial"/>
        <family val="2"/>
      </rPr>
      <t>.</t>
    </r>
  </si>
  <si>
    <r>
      <t xml:space="preserve">    ▫  In the </t>
    </r>
    <r>
      <rPr>
        <b/>
        <sz val="10"/>
        <rFont val="Arial"/>
        <family val="2"/>
      </rPr>
      <t>Review</t>
    </r>
    <r>
      <rPr>
        <sz val="10"/>
        <rFont val="Arial"/>
        <family val="2"/>
      </rPr>
      <t xml:space="preserve"> tab, click </t>
    </r>
    <r>
      <rPr>
        <b/>
        <sz val="10"/>
        <rFont val="Arial"/>
        <family val="2"/>
      </rPr>
      <t>Protect Sheet</t>
    </r>
    <r>
      <rPr>
        <sz val="10"/>
        <rFont val="Arial"/>
        <family val="2"/>
      </rPr>
      <t xml:space="preserve"> to activate protection before releasing the workbook to others.</t>
    </r>
  </si>
  <si>
    <t>▪  Try to dress up the worksheet with some simple graphics to make it less intimidating  and pleasing</t>
  </si>
  <si>
    <t xml:space="preserve">   to look at. It should still be appropriate and not be overly childish or stoic.</t>
  </si>
  <si>
    <t>▪  The choice of colors used must be such that printing or photocopying the worksheet in black and</t>
  </si>
  <si>
    <t xml:space="preserve">    white does not make it less legible.</t>
  </si>
  <si>
    <r>
      <t xml:space="preserve">▪  In the </t>
    </r>
    <r>
      <rPr>
        <b/>
        <sz val="10"/>
        <rFont val="Arial"/>
        <family val="2"/>
      </rPr>
      <t>Page Layout</t>
    </r>
    <r>
      <rPr>
        <sz val="10"/>
        <rFont val="Arial"/>
        <family val="2"/>
      </rPr>
      <t xml:space="preserve"> tab, click </t>
    </r>
    <r>
      <rPr>
        <b/>
        <sz val="10"/>
        <rFont val="Arial"/>
        <family val="2"/>
      </rPr>
      <t>Print Area/Set Print Area</t>
    </r>
    <r>
      <rPr>
        <sz val="10"/>
        <rFont val="Arial"/>
        <family val="2"/>
      </rPr>
      <t xml:space="preserve"> to specify the part of worksheet that should</t>
    </r>
  </si>
  <si>
    <t xml:space="preserve">    be printed.</t>
  </si>
  <si>
    <r>
      <t xml:space="preserve">▪  Click on the other options in the </t>
    </r>
    <r>
      <rPr>
        <b/>
        <sz val="10"/>
        <rFont val="Arial"/>
        <family val="2"/>
      </rPr>
      <t>Page Setup</t>
    </r>
    <r>
      <rPr>
        <sz val="10"/>
        <rFont val="Arial"/>
        <family val="2"/>
      </rPr>
      <t xml:space="preserve"> group to specify page settings.</t>
    </r>
  </si>
  <si>
    <r>
      <t xml:space="preserve">▪  In the </t>
    </r>
    <r>
      <rPr>
        <b/>
        <sz val="10"/>
        <rFont val="Arial"/>
        <family val="2"/>
      </rPr>
      <t>Excel Options</t>
    </r>
    <r>
      <rPr>
        <sz val="10"/>
        <rFont val="Arial"/>
        <family val="2"/>
      </rPr>
      <t xml:space="preserve"> in the </t>
    </r>
    <r>
      <rPr>
        <b/>
        <sz val="10"/>
        <rFont val="Arial"/>
        <family val="2"/>
      </rPr>
      <t>Office Button</t>
    </r>
    <r>
      <rPr>
        <sz val="10"/>
        <rFont val="Arial"/>
        <family val="2"/>
      </rPr>
      <t>, it would be good idea to select Customize and add</t>
    </r>
  </si>
  <si>
    <r>
      <t xml:space="preserve">    </t>
    </r>
    <r>
      <rPr>
        <b/>
        <sz val="10"/>
        <rFont val="Arial"/>
        <family val="2"/>
      </rPr>
      <t>Print Preview</t>
    </r>
    <r>
      <rPr>
        <sz val="10"/>
        <rFont val="Arial"/>
        <family val="2"/>
      </rPr>
      <t xml:space="preserve"> to the Quick Access Toolbar.</t>
    </r>
  </si>
  <si>
    <r>
      <t xml:space="preserve">▪  Click on </t>
    </r>
    <r>
      <rPr>
        <b/>
        <sz val="10"/>
        <rFont val="Arial"/>
        <family val="2"/>
      </rPr>
      <t>Print Preview</t>
    </r>
    <r>
      <rPr>
        <sz val="10"/>
        <rFont val="Arial"/>
        <family val="2"/>
      </rPr>
      <t xml:space="preserve"> to see if worksheet fits nicely on standard paper, and adjust accordingly.</t>
    </r>
  </si>
  <si>
    <t>▪  Your workbook in another computer may not perform as predicted if the application settings there are</t>
  </si>
  <si>
    <t xml:space="preserve">    not the same as your's. Take the necessary actions to rectify.</t>
  </si>
  <si>
    <t>Input</t>
  </si>
  <si>
    <t>Output</t>
  </si>
  <si>
    <t xml:space="preserve">   Historical</t>
  </si>
  <si>
    <t>= Input variable with value fixed (uncontrollable)</t>
  </si>
  <si>
    <t>← Click here</t>
  </si>
  <si>
    <t>Copyright © Leong Thin Yin, 2007. All Rights Reserved.</t>
  </si>
  <si>
    <t>How much is the profit before tax?</t>
  </si>
  <si>
    <t>What if the printer price is $70? Or $80?</t>
  </si>
  <si>
    <t>What is the best printer price?</t>
  </si>
  <si>
    <t>Data</t>
  </si>
  <si>
    <t xml:space="preserve"> &lt;Input&gt;</t>
  </si>
  <si>
    <t xml:space="preserve"> =IF(C6&gt;$C12*C5,0,$C14+$C15*C5)</t>
  </si>
  <si>
    <t xml:space="preserve"> =$C13*C18</t>
  </si>
  <si>
    <t xml:space="preserve"> =(C5-$C9)/$C9</t>
  </si>
  <si>
    <t xml:space="preserve"> =(C6-$C10)/$C10</t>
  </si>
  <si>
    <r>
      <t xml:space="preserve">The above table is formed using the </t>
    </r>
    <r>
      <rPr>
        <b/>
        <sz val="10"/>
        <rFont val="Arial"/>
        <family val="2"/>
      </rPr>
      <t>DataTable</t>
    </r>
    <r>
      <rPr>
        <sz val="10"/>
        <rFont val="Arial"/>
        <family val="2"/>
      </rPr>
      <t xml:space="preserve"> feature.  This term is not to be confused with tables of data in Excel.</t>
    </r>
  </si>
  <si>
    <r>
      <rPr>
        <b/>
        <sz val="10"/>
        <rFont val="Arial"/>
        <family val="2"/>
      </rPr>
      <t>DataTable</t>
    </r>
    <r>
      <rPr>
        <sz val="10"/>
        <rFont val="Arial"/>
        <family val="2"/>
      </rPr>
      <t xml:space="preserve"> tabulates the results of a given model in 2-D and 3-D so that we do not have to do it manually.</t>
    </r>
  </si>
  <si>
    <t>HideSheets</t>
  </si>
  <si>
    <t>ProtectSheets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</si>
</sst>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;[Red]\-&quot;$&quot;#,##0"/>
    <numFmt numFmtId="164" formatCode="&quot;$&quot;#,##0_);[Red]\(&quot;$&quot;#,##0\)"/>
    <numFmt numFmtId="165" formatCode="_(&quot;$&quot;* #,##0.00_);_(&quot;$&quot;* \(#,##0.00\);_(&quot;$&quot;* &quot;-&quot;??_);_(@_)"/>
    <numFmt numFmtId="166" formatCode="0.0"/>
    <numFmt numFmtId="167" formatCode="#,##0.0"/>
    <numFmt numFmtId="168" formatCode="#,##0.0;[Red]\-#,##0.0"/>
  </numFmts>
  <fonts count="43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indexed="55"/>
      <name val="Arial"/>
      <family val="2"/>
    </font>
    <font>
      <i/>
      <sz val="10"/>
      <color indexed="16"/>
      <name val="Arial"/>
      <family val="2"/>
    </font>
    <font>
      <sz val="10"/>
      <color indexed="9"/>
      <name val="Arial"/>
      <family val="2"/>
    </font>
    <font>
      <sz val="10"/>
      <color indexed="63"/>
      <name val="Arial"/>
      <family val="2"/>
    </font>
    <font>
      <sz val="10"/>
      <color indexed="63"/>
      <name val="Arial"/>
      <family val="2"/>
    </font>
    <font>
      <sz val="10"/>
      <color indexed="9"/>
      <name val="Arial"/>
      <family val="2"/>
    </font>
    <font>
      <b/>
      <sz val="14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sz val="10"/>
      <color indexed="61"/>
      <name val="Arial"/>
      <family val="2"/>
    </font>
    <font>
      <sz val="10"/>
      <color indexed="61"/>
      <name val="Arial"/>
      <family val="2"/>
    </font>
    <font>
      <sz val="8"/>
      <color indexed="63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color indexed="16"/>
      <name val="Arial"/>
      <family val="2"/>
    </font>
    <font>
      <sz val="10"/>
      <name val="Arial"/>
      <family val="2"/>
    </font>
    <font>
      <sz val="10"/>
      <color indexed="53"/>
      <name val="Arial"/>
      <family val="2"/>
    </font>
    <font>
      <sz val="10"/>
      <color indexed="53"/>
      <name val="Arial"/>
      <family val="2"/>
    </font>
    <font>
      <sz val="10"/>
      <color indexed="20"/>
      <name val="Arial"/>
      <family val="2"/>
    </font>
    <font>
      <sz val="9"/>
      <color indexed="63"/>
      <name val="Arial"/>
      <family val="2"/>
    </font>
    <font>
      <i/>
      <u/>
      <sz val="10"/>
      <color indexed="61"/>
      <name val="Arial"/>
      <family val="2"/>
    </font>
    <font>
      <i/>
      <u/>
      <sz val="8"/>
      <color indexed="16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i/>
      <sz val="10"/>
      <name val="Arial"/>
      <family val="2"/>
    </font>
    <font>
      <sz val="10"/>
      <name val="Arial Unicode MS"/>
      <family val="2"/>
    </font>
    <font>
      <u/>
      <sz val="10"/>
      <name val="Arial"/>
      <family val="2"/>
    </font>
    <font>
      <sz val="10"/>
      <color rgb="FF993366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0"/>
        <bgColor indexed="64"/>
      </patternFill>
    </fill>
  </fills>
  <borders count="16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double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/>
      <bottom style="double">
        <color indexed="55"/>
      </bottom>
      <diagonal/>
    </border>
    <border>
      <left/>
      <right/>
      <top/>
      <bottom style="double">
        <color indexed="55"/>
      </bottom>
      <diagonal/>
    </border>
    <border>
      <left/>
      <right style="thin">
        <color indexed="55"/>
      </right>
      <top/>
      <bottom style="double">
        <color indexed="55"/>
      </bottom>
      <diagonal/>
    </border>
  </borders>
  <cellStyleXfs count="7">
    <xf numFmtId="0" fontId="0" fillId="0" borderId="0"/>
    <xf numFmtId="165" fontId="7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2" fillId="0" borderId="0"/>
    <xf numFmtId="0" fontId="2" fillId="0" borderId="0"/>
    <xf numFmtId="0" fontId="40" fillId="0" borderId="0"/>
  </cellStyleXfs>
  <cellXfs count="17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3" fontId="0" fillId="0" borderId="0" xfId="0" applyNumberFormat="1" applyAlignment="1">
      <alignment horizontal="left"/>
    </xf>
    <xf numFmtId="0" fontId="13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64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17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wrapText="1"/>
    </xf>
    <xf numFmtId="0" fontId="0" fillId="0" borderId="1" xfId="0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19" fillId="0" borderId="0" xfId="0" applyFont="1" applyProtection="1">
      <protection locked="0"/>
    </xf>
    <xf numFmtId="0" fontId="0" fillId="4" borderId="0" xfId="0" applyFill="1"/>
    <xf numFmtId="0" fontId="20" fillId="0" borderId="0" xfId="3" applyFont="1"/>
    <xf numFmtId="0" fontId="13" fillId="0" borderId="0" xfId="3"/>
    <xf numFmtId="0" fontId="9" fillId="0" borderId="0" xfId="3" applyFont="1"/>
    <xf numFmtId="0" fontId="13" fillId="5" borderId="0" xfId="3" applyFill="1"/>
    <xf numFmtId="0" fontId="15" fillId="0" borderId="0" xfId="3" applyFont="1"/>
    <xf numFmtId="0" fontId="14" fillId="0" borderId="0" xfId="3" applyFont="1"/>
    <xf numFmtId="0" fontId="21" fillId="0" borderId="0" xfId="3" applyFont="1" applyAlignment="1">
      <alignment horizontal="left" indent="1"/>
    </xf>
    <xf numFmtId="0" fontId="23" fillId="0" borderId="0" xfId="3" applyFont="1" applyAlignment="1">
      <alignment horizontal="left" indent="1"/>
    </xf>
    <xf numFmtId="0" fontId="13" fillId="6" borderId="0" xfId="3" applyFill="1" applyAlignment="1">
      <alignment horizontal="left" indent="1"/>
    </xf>
    <xf numFmtId="0" fontId="13" fillId="7" borderId="0" xfId="3" applyFill="1" applyAlignment="1">
      <alignment horizontal="left" indent="1"/>
    </xf>
    <xf numFmtId="0" fontId="13" fillId="0" borderId="0" xfId="3" applyAlignment="1">
      <alignment horizontal="left" indent="1"/>
    </xf>
    <xf numFmtId="0" fontId="18" fillId="0" borderId="0" xfId="3" applyFont="1"/>
    <xf numFmtId="0" fontId="0" fillId="8" borderId="1" xfId="0" applyFill="1" applyBorder="1" applyAlignment="1">
      <alignment horizontal="center" wrapText="1"/>
    </xf>
    <xf numFmtId="2" fontId="24" fillId="0" borderId="1" xfId="0" applyNumberFormat="1" applyFont="1" applyBorder="1" applyAlignment="1">
      <alignment horizontal="center"/>
    </xf>
    <xf numFmtId="0" fontId="25" fillId="0" borderId="0" xfId="0" applyFont="1" applyAlignment="1">
      <alignment horizontal="right"/>
    </xf>
    <xf numFmtId="2" fontId="11" fillId="0" borderId="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13" fillId="0" borderId="0" xfId="0" applyFont="1" applyAlignment="1">
      <alignment horizontal="left"/>
    </xf>
    <xf numFmtId="164" fontId="13" fillId="0" borderId="0" xfId="0" applyNumberFormat="1" applyFont="1" applyAlignment="1">
      <alignment horizontal="left"/>
    </xf>
    <xf numFmtId="0" fontId="24" fillId="0" borderId="1" xfId="0" applyFont="1" applyBorder="1" applyAlignment="1">
      <alignment horizontal="center"/>
    </xf>
    <xf numFmtId="164" fontId="15" fillId="0" borderId="0" xfId="0" applyNumberFormat="1" applyFont="1" applyAlignment="1">
      <alignment horizontal="left"/>
    </xf>
    <xf numFmtId="0" fontId="7" fillId="0" borderId="0" xfId="0" applyFont="1"/>
    <xf numFmtId="2" fontId="24" fillId="0" borderId="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167" fontId="24" fillId="0" borderId="3" xfId="0" applyNumberFormat="1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6" borderId="2" xfId="0" applyNumberFormat="1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29" fillId="0" borderId="0" xfId="0" applyFont="1" applyAlignment="1">
      <alignment horizontal="left"/>
    </xf>
    <xf numFmtId="0" fontId="30" fillId="0" borderId="0" xfId="0" applyFont="1"/>
    <xf numFmtId="0" fontId="8" fillId="0" borderId="0" xfId="0" applyFont="1" applyAlignment="1">
      <alignment horizontal="right"/>
    </xf>
    <xf numFmtId="0" fontId="10" fillId="0" borderId="0" xfId="0" applyFont="1"/>
    <xf numFmtId="0" fontId="18" fillId="0" borderId="0" xfId="0" applyFont="1" applyAlignment="1">
      <alignment horizontal="right"/>
    </xf>
    <xf numFmtId="0" fontId="12" fillId="8" borderId="1" xfId="2" applyFill="1" applyBorder="1" applyAlignment="1" applyProtection="1">
      <alignment horizontal="center" wrapText="1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right"/>
    </xf>
    <xf numFmtId="3" fontId="13" fillId="7" borderId="1" xfId="0" applyNumberFormat="1" applyFont="1" applyFill="1" applyBorder="1" applyAlignment="1">
      <alignment horizontal="center"/>
    </xf>
    <xf numFmtId="1" fontId="13" fillId="7" borderId="1" xfId="0" applyNumberFormat="1" applyFont="1" applyFill="1" applyBorder="1" applyAlignment="1">
      <alignment horizontal="center"/>
    </xf>
    <xf numFmtId="3" fontId="13" fillId="6" borderId="1" xfId="0" applyNumberFormat="1" applyFont="1" applyFill="1" applyBorder="1" applyAlignment="1">
      <alignment horizontal="center"/>
    </xf>
    <xf numFmtId="0" fontId="25" fillId="0" borderId="0" xfId="0" applyFont="1" applyAlignment="1">
      <alignment horizontal="left"/>
    </xf>
    <xf numFmtId="168" fontId="0" fillId="0" borderId="1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9" fontId="7" fillId="0" borderId="3" xfId="0" applyNumberFormat="1" applyFont="1" applyBorder="1" applyAlignment="1">
      <alignment horizontal="center"/>
    </xf>
    <xf numFmtId="9" fontId="7" fillId="0" borderId="1" xfId="0" applyNumberFormat="1" applyFont="1" applyBorder="1" applyAlignment="1">
      <alignment horizontal="center"/>
    </xf>
    <xf numFmtId="0" fontId="13" fillId="0" borderId="0" xfId="0" applyFont="1"/>
    <xf numFmtId="0" fontId="15" fillId="0" borderId="0" xfId="0" applyFont="1"/>
    <xf numFmtId="0" fontId="18" fillId="0" borderId="0" xfId="0" applyFont="1"/>
    <xf numFmtId="0" fontId="14" fillId="0" borderId="0" xfId="0" applyFont="1"/>
    <xf numFmtId="0" fontId="13" fillId="3" borderId="0" xfId="3" applyFill="1" applyAlignment="1">
      <alignment horizontal="left" indent="1"/>
    </xf>
    <xf numFmtId="164" fontId="0" fillId="7" borderId="1" xfId="0" applyNumberFormat="1" applyFill="1" applyBorder="1" applyAlignment="1">
      <alignment horizontal="center"/>
    </xf>
    <xf numFmtId="2" fontId="24" fillId="0" borderId="4" xfId="0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0" xfId="0" applyFont="1"/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3" fillId="0" borderId="1" xfId="0" applyNumberFormat="1" applyFont="1" applyBorder="1" applyAlignment="1">
      <alignment horizontal="center"/>
    </xf>
    <xf numFmtId="167" fontId="13" fillId="0" borderId="1" xfId="0" applyNumberFormat="1" applyFont="1" applyBorder="1" applyAlignment="1">
      <alignment horizontal="center"/>
    </xf>
    <xf numFmtId="0" fontId="18" fillId="0" borderId="0" xfId="0" quotePrefix="1" applyFont="1" applyAlignment="1">
      <alignment horizontal="left"/>
    </xf>
    <xf numFmtId="0" fontId="18" fillId="0" borderId="0" xfId="0" applyFont="1" applyAlignment="1">
      <alignment horizontal="left"/>
    </xf>
    <xf numFmtId="0" fontId="18" fillId="0" borderId="0" xfId="0" quotePrefix="1" applyFont="1"/>
    <xf numFmtId="0" fontId="10" fillId="0" borderId="0" xfId="3" applyFont="1"/>
    <xf numFmtId="0" fontId="13" fillId="0" borderId="0" xfId="3" applyAlignment="1">
      <alignment horizontal="center"/>
    </xf>
    <xf numFmtId="2" fontId="21" fillId="0" borderId="0" xfId="3" applyNumberFormat="1" applyFont="1" applyAlignment="1">
      <alignment horizontal="center"/>
    </xf>
    <xf numFmtId="0" fontId="22" fillId="0" borderId="0" xfId="3" applyFont="1" applyAlignment="1">
      <alignment horizontal="center"/>
    </xf>
    <xf numFmtId="2" fontId="13" fillId="7" borderId="1" xfId="1" applyNumberFormat="1" applyFont="1" applyFill="1" applyBorder="1" applyAlignment="1">
      <alignment horizontal="center"/>
    </xf>
    <xf numFmtId="0" fontId="21" fillId="0" borderId="0" xfId="3" applyFont="1" applyAlignment="1">
      <alignment horizontal="center"/>
    </xf>
    <xf numFmtId="2" fontId="13" fillId="0" borderId="1" xfId="3" applyNumberFormat="1" applyBorder="1" applyAlignment="1">
      <alignment horizontal="center"/>
    </xf>
    <xf numFmtId="0" fontId="34" fillId="0" borderId="0" xfId="3" applyFont="1" applyAlignment="1">
      <alignment horizontal="center"/>
    </xf>
    <xf numFmtId="0" fontId="18" fillId="0" borderId="0" xfId="3" applyFont="1" applyAlignment="1">
      <alignment horizontal="center"/>
    </xf>
    <xf numFmtId="2" fontId="13" fillId="6" borderId="1" xfId="3" applyNumberFormat="1" applyFill="1" applyBorder="1" applyAlignment="1">
      <alignment horizontal="center"/>
    </xf>
    <xf numFmtId="0" fontId="19" fillId="0" borderId="0" xfId="0" applyFont="1"/>
    <xf numFmtId="0" fontId="19" fillId="0" borderId="0" xfId="0" applyFont="1" applyAlignment="1" applyProtection="1">
      <alignment horizontal="center"/>
      <protection locked="0"/>
    </xf>
    <xf numFmtId="0" fontId="16" fillId="0" borderId="0" xfId="3" applyFont="1" applyProtection="1">
      <protection locked="0"/>
    </xf>
    <xf numFmtId="0" fontId="16" fillId="0" borderId="0" xfId="0" applyFont="1" applyAlignment="1" applyProtection="1">
      <alignment horizontal="center"/>
      <protection locked="0"/>
    </xf>
    <xf numFmtId="0" fontId="16" fillId="0" borderId="0" xfId="0" applyFont="1" applyProtection="1">
      <protection locked="0"/>
    </xf>
    <xf numFmtId="0" fontId="19" fillId="4" borderId="0" xfId="0" applyFont="1" applyFill="1" applyAlignment="1" applyProtection="1">
      <alignment horizontal="center"/>
      <protection locked="0"/>
    </xf>
    <xf numFmtId="0" fontId="35" fillId="0" borderId="0" xfId="3" applyFont="1" applyAlignment="1">
      <alignment horizontal="center"/>
    </xf>
    <xf numFmtId="0" fontId="8" fillId="4" borderId="0" xfId="0" applyFont="1" applyFill="1"/>
    <xf numFmtId="0" fontId="37" fillId="0" borderId="0" xfId="0" applyFont="1" applyAlignment="1">
      <alignment horizontal="right"/>
    </xf>
    <xf numFmtId="0" fontId="9" fillId="0" borderId="0" xfId="0" applyFont="1"/>
    <xf numFmtId="0" fontId="31" fillId="0" borderId="0" xfId="0" applyFont="1" applyAlignment="1">
      <alignment horizontal="right"/>
    </xf>
    <xf numFmtId="2" fontId="21" fillId="0" borderId="1" xfId="1" applyNumberFormat="1" applyFont="1" applyFill="1" applyBorder="1" applyAlignment="1" applyProtection="1">
      <alignment horizontal="center"/>
      <protection locked="0"/>
    </xf>
    <xf numFmtId="2" fontId="33" fillId="0" borderId="1" xfId="1" applyNumberFormat="1" applyFont="1" applyFill="1" applyBorder="1" applyAlignment="1" applyProtection="1">
      <alignment horizontal="center"/>
      <protection locked="0"/>
    </xf>
    <xf numFmtId="2" fontId="11" fillId="0" borderId="1" xfId="0" applyNumberFormat="1" applyFont="1" applyBorder="1" applyAlignment="1" applyProtection="1">
      <alignment horizontal="center"/>
      <protection locked="0"/>
    </xf>
    <xf numFmtId="2" fontId="24" fillId="0" borderId="1" xfId="0" applyNumberFormat="1" applyFont="1" applyBorder="1" applyAlignment="1" applyProtection="1">
      <alignment horizontal="center"/>
      <protection locked="0"/>
    </xf>
    <xf numFmtId="2" fontId="24" fillId="0" borderId="4" xfId="0" applyNumberFormat="1" applyFont="1" applyBorder="1" applyAlignment="1" applyProtection="1">
      <alignment horizontal="center"/>
      <protection locked="0"/>
    </xf>
    <xf numFmtId="2" fontId="24" fillId="0" borderId="2" xfId="0" applyNumberFormat="1" applyFont="1" applyBorder="1" applyAlignment="1" applyProtection="1">
      <alignment horizontal="center"/>
      <protection locked="0"/>
    </xf>
    <xf numFmtId="0" fontId="24" fillId="0" borderId="3" xfId="0" applyFont="1" applyBorder="1" applyAlignment="1" applyProtection="1">
      <alignment horizontal="center"/>
      <protection locked="0"/>
    </xf>
    <xf numFmtId="0" fontId="24" fillId="0" borderId="2" xfId="0" applyFont="1" applyBorder="1" applyAlignment="1" applyProtection="1">
      <alignment horizontal="center"/>
      <protection locked="0"/>
    </xf>
    <xf numFmtId="167" fontId="24" fillId="0" borderId="3" xfId="0" applyNumberFormat="1" applyFont="1" applyBorder="1" applyAlignment="1" applyProtection="1">
      <alignment horizontal="center"/>
      <protection locked="0"/>
    </xf>
    <xf numFmtId="0" fontId="24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67" fontId="24" fillId="0" borderId="1" xfId="0" applyNumberFormat="1" applyFont="1" applyBorder="1" applyAlignment="1" applyProtection="1">
      <alignment horizontal="center"/>
      <protection locked="0"/>
    </xf>
    <xf numFmtId="4" fontId="21" fillId="0" borderId="1" xfId="0" applyNumberFormat="1" applyFont="1" applyBorder="1" applyAlignment="1" applyProtection="1">
      <alignment horizontal="center"/>
      <protection locked="0"/>
    </xf>
    <xf numFmtId="2" fontId="16" fillId="9" borderId="1" xfId="0" applyNumberFormat="1" applyFont="1" applyFill="1" applyBorder="1" applyAlignment="1" applyProtection="1">
      <alignment horizontal="center"/>
      <protection locked="0"/>
    </xf>
    <xf numFmtId="166" fontId="16" fillId="9" borderId="1" xfId="0" applyNumberFormat="1" applyFont="1" applyFill="1" applyBorder="1" applyAlignment="1" applyProtection="1">
      <alignment horizontal="center"/>
      <protection locked="0"/>
    </xf>
    <xf numFmtId="0" fontId="6" fillId="0" borderId="1" xfId="0" applyFont="1" applyBorder="1" applyAlignment="1">
      <alignment horizontal="center"/>
    </xf>
    <xf numFmtId="0" fontId="17" fillId="0" borderId="0" xfId="0" applyFont="1" applyAlignment="1">
      <alignment horizontal="right"/>
    </xf>
    <xf numFmtId="2" fontId="22" fillId="0" borderId="1" xfId="3" applyNumberFormat="1" applyFont="1" applyBorder="1" applyAlignment="1">
      <alignment horizontal="center"/>
    </xf>
    <xf numFmtId="2" fontId="13" fillId="3" borderId="1" xfId="3" applyNumberFormat="1" applyFill="1" applyBorder="1" applyAlignment="1">
      <alignment horizontal="center"/>
    </xf>
    <xf numFmtId="2" fontId="13" fillId="7" borderId="1" xfId="3" applyNumberFormat="1" applyFill="1" applyBorder="1" applyAlignment="1">
      <alignment horizontal="center"/>
    </xf>
    <xf numFmtId="0" fontId="5" fillId="2" borderId="1" xfId="0" applyFont="1" applyFill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17" fillId="0" borderId="0" xfId="0" applyFont="1" applyAlignment="1">
      <alignment horizontal="right" wrapText="1"/>
    </xf>
    <xf numFmtId="0" fontId="5" fillId="0" borderId="4" xfId="0" applyFont="1" applyBorder="1" applyAlignment="1">
      <alignment horizontal="center"/>
    </xf>
    <xf numFmtId="0" fontId="5" fillId="0" borderId="3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5" fillId="0" borderId="3" xfId="0" applyFont="1" applyBorder="1" applyAlignment="1">
      <alignment horizontal="center"/>
    </xf>
    <xf numFmtId="0" fontId="8" fillId="0" borderId="0" xfId="0" applyFont="1" applyAlignment="1">
      <alignment horizontal="center" wrapText="1"/>
    </xf>
    <xf numFmtId="0" fontId="4" fillId="0" borderId="0" xfId="0" applyFont="1"/>
    <xf numFmtId="0" fontId="3" fillId="0" borderId="0" xfId="0" applyFont="1"/>
    <xf numFmtId="0" fontId="17" fillId="4" borderId="5" xfId="4" applyFont="1" applyFill="1" applyBorder="1" applyAlignment="1">
      <alignment horizontal="left" vertical="top"/>
    </xf>
    <xf numFmtId="0" fontId="10" fillId="0" borderId="0" xfId="4" applyFont="1" applyAlignment="1">
      <alignment vertical="top"/>
    </xf>
    <xf numFmtId="0" fontId="2" fillId="0" borderId="0" xfId="4" applyAlignment="1">
      <alignment vertical="top"/>
    </xf>
    <xf numFmtId="0" fontId="2" fillId="0" borderId="0" xfId="4" applyAlignment="1">
      <alignment horizontal="left" vertical="top"/>
    </xf>
    <xf numFmtId="0" fontId="2" fillId="0" borderId="0" xfId="4"/>
    <xf numFmtId="0" fontId="37" fillId="0" borderId="0" xfId="4" applyFont="1" applyAlignment="1">
      <alignment vertical="top"/>
    </xf>
    <xf numFmtId="0" fontId="36" fillId="4" borderId="0" xfId="0" applyFont="1" applyFill="1" applyAlignment="1" applyProtection="1">
      <alignment horizontal="center"/>
      <protection locked="0"/>
    </xf>
    <xf numFmtId="0" fontId="2" fillId="0" borderId="0" xfId="5"/>
    <xf numFmtId="0" fontId="10" fillId="0" borderId="0" xfId="5" applyFont="1"/>
    <xf numFmtId="0" fontId="8" fillId="0" borderId="0" xfId="4" applyFont="1" applyAlignment="1">
      <alignment horizontal="right"/>
    </xf>
    <xf numFmtId="0" fontId="16" fillId="0" borderId="0" xfId="5" applyFont="1" applyProtection="1">
      <protection locked="0"/>
    </xf>
    <xf numFmtId="0" fontId="9" fillId="0" borderId="0" xfId="5" applyFont="1"/>
    <xf numFmtId="0" fontId="2" fillId="0" borderId="0" xfId="5" applyAlignment="1">
      <alignment horizontal="center"/>
    </xf>
    <xf numFmtId="0" fontId="41" fillId="0" borderId="0" xfId="5" applyFont="1" applyAlignment="1">
      <alignment horizontal="left"/>
    </xf>
    <xf numFmtId="0" fontId="17" fillId="0" borderId="0" xfId="5" applyFont="1"/>
    <xf numFmtId="0" fontId="17" fillId="0" borderId="0" xfId="5" quotePrefix="1" applyFont="1"/>
    <xf numFmtId="0" fontId="8" fillId="0" borderId="0" xfId="5" applyFont="1"/>
    <xf numFmtId="0" fontId="38" fillId="0" borderId="0" xfId="3" applyFont="1" applyProtection="1">
      <protection locked="0"/>
    </xf>
    <xf numFmtId="0" fontId="2" fillId="0" borderId="0" xfId="0" applyFont="1"/>
    <xf numFmtId="6" fontId="13" fillId="0" borderId="0" xfId="0" applyNumberFormat="1" applyFont="1"/>
    <xf numFmtId="3" fontId="13" fillId="0" borderId="0" xfId="0" applyNumberFormat="1" applyFont="1"/>
    <xf numFmtId="2" fontId="42" fillId="0" borderId="1" xfId="0" applyNumberFormat="1" applyFont="1" applyBorder="1" applyAlignment="1" applyProtection="1">
      <alignment horizontal="center"/>
      <protection locked="0"/>
    </xf>
    <xf numFmtId="167" fontId="42" fillId="0" borderId="1" xfId="0" applyNumberFormat="1" applyFont="1" applyBorder="1" applyAlignment="1" applyProtection="1">
      <alignment horizontal="center"/>
      <protection locked="0"/>
    </xf>
    <xf numFmtId="0" fontId="29" fillId="0" borderId="6" xfId="0" applyFont="1" applyBorder="1" applyAlignment="1">
      <alignment horizontal="left"/>
    </xf>
    <xf numFmtId="0" fontId="0" fillId="0" borderId="5" xfId="0" applyBorder="1"/>
    <xf numFmtId="0" fontId="28" fillId="0" borderId="5" xfId="0" applyFont="1" applyBorder="1"/>
    <xf numFmtId="0" fontId="28" fillId="0" borderId="7" xfId="0" applyFont="1" applyBorder="1"/>
    <xf numFmtId="0" fontId="17" fillId="0" borderId="8" xfId="0" applyFont="1" applyBorder="1" applyAlignment="1">
      <alignment horizontal="left"/>
    </xf>
    <xf numFmtId="0" fontId="28" fillId="0" borderId="9" xfId="0" applyFont="1" applyBorder="1"/>
    <xf numFmtId="0" fontId="18" fillId="0" borderId="8" xfId="0" applyFont="1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38" fillId="0" borderId="1" xfId="0" applyNumberFormat="1" applyFont="1" applyBorder="1" applyAlignment="1">
      <alignment horizontal="center"/>
    </xf>
    <xf numFmtId="0" fontId="8" fillId="0" borderId="0" xfId="0" applyFont="1" applyAlignment="1">
      <alignment horizontal="right" vertical="center" wrapText="1"/>
    </xf>
  </cellXfs>
  <cellStyles count="7">
    <cellStyle name="Currency" xfId="1" builtinId="4"/>
    <cellStyle name="Hyperlink" xfId="2" builtinId="8"/>
    <cellStyle name="Normal" xfId="0" builtinId="0"/>
    <cellStyle name="Normal 2" xfId="4" xr:uid="{00000000-0005-0000-0000-000003000000}"/>
    <cellStyle name="Normal 3" xfId="6" xr:uid="{00000000-0005-0000-0000-000004000000}"/>
    <cellStyle name="Normal_SimonPie" xfId="3" xr:uid="{00000000-0005-0000-0000-000005000000}"/>
    <cellStyle name="Normal_SimonPie 2" xfId="5" xr:uid="{00000000-0005-0000-0000-000006000000}"/>
  </cellStyles>
  <dxfs count="18">
    <dxf>
      <font>
        <condense val="0"/>
        <extend val="0"/>
        <color auto="1"/>
      </font>
      <fill>
        <patternFill>
          <bgColor indexed="26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20"/>
      </font>
      <fill>
        <patternFill>
          <bgColor indexed="46"/>
        </patternFill>
      </fill>
    </dxf>
    <dxf>
      <font>
        <condense val="0"/>
        <extend val="0"/>
        <color indexed="20"/>
      </font>
      <fill>
        <patternFill>
          <bgColor indexed="46"/>
        </patternFill>
      </fill>
    </dxf>
    <dxf>
      <fill>
        <patternFill>
          <bgColor indexed="41"/>
        </patternFill>
      </fill>
    </dxf>
    <dxf>
      <fill>
        <patternFill>
          <bgColor indexed="46"/>
        </patternFill>
      </fill>
    </dxf>
    <dxf>
      <font>
        <condense val="0"/>
        <extend val="0"/>
        <color auto="1"/>
      </font>
      <fill>
        <patternFill>
          <bgColor indexed="26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ill>
        <patternFill>
          <bgColor rgb="FFCCFFFF"/>
        </patternFill>
      </fill>
    </dxf>
    <dxf>
      <fill>
        <patternFill>
          <bgColor indexed="46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13"/>
        </patternFill>
      </fill>
    </dxf>
    <dxf>
      <fill>
        <patternFill>
          <bgColor indexed="26"/>
        </patternFill>
      </fill>
    </dxf>
    <dxf>
      <fill>
        <patternFill>
          <bgColor rgb="FFCC99FF"/>
        </patternFill>
      </fill>
    </dxf>
    <dxf>
      <fill>
        <patternFill>
          <bgColor indexed="46"/>
        </patternFill>
      </fill>
    </dxf>
    <dxf>
      <fill>
        <patternFill>
          <bgColor indexed="41"/>
        </patternFill>
      </fill>
    </dxf>
    <dxf>
      <fill>
        <patternFill>
          <bgColor indexed="46"/>
        </patternFill>
      </fill>
    </dxf>
  </dxfs>
  <tableStyles count="0" defaultTableStyle="TableStyleMedium9" defaultPivotStyle="PivotStyleLight16"/>
  <colors>
    <mruColors>
      <color rgb="FFCCCCFF"/>
      <color rgb="FF9999FF"/>
      <color rgb="FFCC99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28578603319718"/>
          <c:y val="7.828316612299932E-2"/>
          <c:w val="0.79047655807131556"/>
          <c:h val="0.75252850015012263"/>
        </c:manualLayout>
      </c:layout>
      <c:scatterChart>
        <c:scatterStyle val="lineMarker"/>
        <c:varyColors val="0"/>
        <c:ser>
          <c:idx val="0"/>
          <c:order val="0"/>
          <c:tx>
            <c:strRef>
              <c:f>Demand!$C$8</c:f>
              <c:strCache>
                <c:ptCount val="1"/>
                <c:pt idx="0">
                  <c:v>Printer Demand
(' 000 Units)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0.43486456905965537"/>
                  <c:y val="-4.7770818490626303E-2"/>
                </c:manualLayout>
              </c:layout>
              <c:numFmt formatCode="General" sourceLinked="0"/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125" b="0" i="0" u="none" strike="noStrike" baseline="0">
                      <a:solidFill>
                        <a:srgbClr val="FF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Demand!$B$9:$B$22</c:f>
              <c:numCache>
                <c:formatCode>0.00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150</c:v>
                </c:pt>
                <c:pt idx="12">
                  <c:v>200</c:v>
                </c:pt>
                <c:pt idx="13">
                  <c:v>250</c:v>
                </c:pt>
              </c:numCache>
            </c:numRef>
          </c:xVal>
          <c:yVal>
            <c:numRef>
              <c:f>Demand!$C$9:$C$22</c:f>
              <c:numCache>
                <c:formatCode>#,##0.0</c:formatCode>
                <c:ptCount val="14"/>
                <c:pt idx="0">
                  <c:v>10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68-4C9C-8C86-2C2E5DF04B3A}"/>
            </c:ext>
          </c:extLst>
        </c:ser>
        <c:ser>
          <c:idx val="1"/>
          <c:order val="1"/>
          <c:spPr>
            <a:ln w="12700">
              <a:solidFill>
                <a:srgbClr val="333333"/>
              </a:solidFill>
              <a:prstDash val="sysDash"/>
            </a:ln>
          </c:spPr>
          <c:marker>
            <c:symbol val="diamond"/>
            <c:size val="5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Demand!$B$19:$B$22</c:f>
              <c:numCache>
                <c:formatCode>0.00</c:formatCode>
                <c:ptCount val="4"/>
                <c:pt idx="0">
                  <c:v>100</c:v>
                </c:pt>
                <c:pt idx="1">
                  <c:v>150</c:v>
                </c:pt>
                <c:pt idx="2">
                  <c:v>200</c:v>
                </c:pt>
                <c:pt idx="3">
                  <c:v>250</c:v>
                </c:pt>
              </c:numCache>
            </c:numRef>
          </c:xVal>
          <c:yVal>
            <c:numRef>
              <c:f>Demand!$C$19:$C$22</c:f>
              <c:numCache>
                <c:formatCode>#,##0.0</c:formatCode>
                <c:ptCount val="4"/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68-4C9C-8C86-2C2E5DF04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96736"/>
        <c:axId val="125945344"/>
      </c:scatterChart>
      <c:valAx>
        <c:axId val="11339673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Printer Price</a:t>
                </a:r>
              </a:p>
            </c:rich>
          </c:tx>
          <c:layout>
            <c:manualLayout>
              <c:xMode val="edge"/>
              <c:yMode val="edge"/>
              <c:x val="0.46095259530905847"/>
              <c:y val="0.9242464129360566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945344"/>
        <c:crosses val="autoZero"/>
        <c:crossBetween val="midCat"/>
        <c:majorUnit val="10"/>
      </c:valAx>
      <c:valAx>
        <c:axId val="12594534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Printer Demand</a:t>
                </a:r>
              </a:p>
            </c:rich>
          </c:tx>
          <c:layout>
            <c:manualLayout>
              <c:xMode val="edge"/>
              <c:yMode val="edge"/>
              <c:x val="3.8095255810665841E-2"/>
              <c:y val="0.3131326644919972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396736"/>
        <c:crosses val="autoZero"/>
        <c:crossBetween val="midCat"/>
        <c:majorUnit val="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Tradeoff Analysis</a:t>
            </a:r>
          </a:p>
        </c:rich>
      </c:tx>
      <c:layout>
        <c:manualLayout>
          <c:xMode val="edge"/>
          <c:yMode val="edge"/>
          <c:x val="0.40082987551867377"/>
          <c:y val="2.04638472032743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709543568464719E-2"/>
          <c:y val="0.11596180081855392"/>
          <c:w val="0.91784232365145235"/>
          <c:h val="0.76125511596180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Model!$B$25</c:f>
              <c:strCache>
                <c:ptCount val="1"/>
                <c:pt idx="0">
                  <c:v>Cartridge revenue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Model!$C$5:$N$5</c:f>
              <c:numCache>
                <c:formatCode>0.00</c:formatCode>
                <c:ptCount val="12"/>
                <c:pt idx="0">
                  <c:v>30</c:v>
                </c:pt>
                <c:pt idx="1">
                  <c:v>40</c:v>
                </c:pt>
                <c:pt idx="2">
                  <c:v>50</c:v>
                </c:pt>
                <c:pt idx="3">
                  <c:v>60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  <c:pt idx="9">
                  <c:v>120</c:v>
                </c:pt>
                <c:pt idx="10">
                  <c:v>130</c:v>
                </c:pt>
                <c:pt idx="11">
                  <c:v>140</c:v>
                </c:pt>
              </c:numCache>
            </c:numRef>
          </c:xVal>
          <c:yVal>
            <c:numRef>
              <c:f>Model!$C$26:$N$26</c:f>
              <c:numCache>
                <c:formatCode>"$"#,##0_);[Red]\("$"#,##0\)</c:formatCode>
                <c:ptCount val="12"/>
                <c:pt idx="0">
                  <c:v>1234.9199999999998</c:v>
                </c:pt>
                <c:pt idx="1">
                  <c:v>1220.56</c:v>
                </c:pt>
                <c:pt idx="2">
                  <c:v>1194.2</c:v>
                </c:pt>
                <c:pt idx="3">
                  <c:v>1155.8400000000001</c:v>
                </c:pt>
                <c:pt idx="4">
                  <c:v>1105.48</c:v>
                </c:pt>
                <c:pt idx="5">
                  <c:v>1043.1200000000001</c:v>
                </c:pt>
                <c:pt idx="6">
                  <c:v>968.76000000000022</c:v>
                </c:pt>
                <c:pt idx="7">
                  <c:v>882.40000000000009</c:v>
                </c:pt>
                <c:pt idx="8">
                  <c:v>784.04000000000019</c:v>
                </c:pt>
                <c:pt idx="9">
                  <c:v>673.68000000000029</c:v>
                </c:pt>
                <c:pt idx="10">
                  <c:v>551.32000000000005</c:v>
                </c:pt>
                <c:pt idx="11">
                  <c:v>416.95999999999992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4-49FB-8D5A-23F7AD335DC7}"/>
            </c:ext>
          </c:extLst>
        </c:ser>
        <c:ser>
          <c:idx val="1"/>
          <c:order val="1"/>
          <c:tx>
            <c:strRef>
              <c:f>Model!$B$29</c:f>
              <c:strCache>
                <c:ptCount val="1"/>
                <c:pt idx="0">
                  <c:v>Total cost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Model!$C$5:$N$5</c:f>
              <c:numCache>
                <c:formatCode>0.00</c:formatCode>
                <c:ptCount val="12"/>
                <c:pt idx="0">
                  <c:v>30</c:v>
                </c:pt>
                <c:pt idx="1">
                  <c:v>40</c:v>
                </c:pt>
                <c:pt idx="2">
                  <c:v>50</c:v>
                </c:pt>
                <c:pt idx="3">
                  <c:v>60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  <c:pt idx="9">
                  <c:v>120</c:v>
                </c:pt>
                <c:pt idx="10">
                  <c:v>130</c:v>
                </c:pt>
                <c:pt idx="11">
                  <c:v>140</c:v>
                </c:pt>
              </c:numCache>
            </c:numRef>
          </c:xVal>
          <c:yVal>
            <c:numRef>
              <c:f>Model!$C$29:$N$29</c:f>
              <c:numCache>
                <c:formatCode>"$"#,##0_);[Red]\("$"#,##0\)</c:formatCode>
                <c:ptCount val="12"/>
                <c:pt idx="0">
                  <c:v>1111.3999999999999</c:v>
                </c:pt>
                <c:pt idx="1">
                  <c:v>1035.1999999999998</c:v>
                </c:pt>
                <c:pt idx="2">
                  <c:v>959</c:v>
                </c:pt>
                <c:pt idx="3">
                  <c:v>882.80000000000007</c:v>
                </c:pt>
                <c:pt idx="4">
                  <c:v>806.59999999999991</c:v>
                </c:pt>
                <c:pt idx="5">
                  <c:v>730.40000000000009</c:v>
                </c:pt>
                <c:pt idx="6">
                  <c:v>654.20000000000005</c:v>
                </c:pt>
                <c:pt idx="7">
                  <c:v>578</c:v>
                </c:pt>
                <c:pt idx="8">
                  <c:v>501.80000000000007</c:v>
                </c:pt>
                <c:pt idx="9">
                  <c:v>425.60000000000008</c:v>
                </c:pt>
                <c:pt idx="10">
                  <c:v>349.40000000000003</c:v>
                </c:pt>
                <c:pt idx="11">
                  <c:v>273.19999999999993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4-49FB-8D5A-23F7AD335DC7}"/>
            </c:ext>
          </c:extLst>
        </c:ser>
        <c:ser>
          <c:idx val="2"/>
          <c:order val="2"/>
          <c:tx>
            <c:strRef>
              <c:f>Model!$B$32</c:f>
              <c:strCache>
                <c:ptCount val="1"/>
                <c:pt idx="0">
                  <c:v>Profit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Model!$C$5:$N$5</c:f>
              <c:numCache>
                <c:formatCode>0.00</c:formatCode>
                <c:ptCount val="12"/>
                <c:pt idx="0">
                  <c:v>30</c:v>
                </c:pt>
                <c:pt idx="1">
                  <c:v>40</c:v>
                </c:pt>
                <c:pt idx="2">
                  <c:v>50</c:v>
                </c:pt>
                <c:pt idx="3">
                  <c:v>60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  <c:pt idx="9">
                  <c:v>120</c:v>
                </c:pt>
                <c:pt idx="10">
                  <c:v>130</c:v>
                </c:pt>
                <c:pt idx="11">
                  <c:v>140</c:v>
                </c:pt>
              </c:numCache>
            </c:numRef>
          </c:xVal>
          <c:yVal>
            <c:numRef>
              <c:f>Model!$C$32:$N$32</c:f>
              <c:numCache>
                <c:formatCode>"$"#,##0_);[Red]\("$"#,##0\)</c:formatCode>
                <c:ptCount val="12"/>
                <c:pt idx="0">
                  <c:v>123.51999999999998</c:v>
                </c:pt>
                <c:pt idx="1">
                  <c:v>185.36000000000013</c:v>
                </c:pt>
                <c:pt idx="2">
                  <c:v>235.20000000000005</c:v>
                </c:pt>
                <c:pt idx="3">
                  <c:v>273.04000000000008</c:v>
                </c:pt>
                <c:pt idx="4">
                  <c:v>298.88000000000011</c:v>
                </c:pt>
                <c:pt idx="5">
                  <c:v>312.72000000000003</c:v>
                </c:pt>
                <c:pt idx="6">
                  <c:v>314.56000000000017</c:v>
                </c:pt>
                <c:pt idx="7">
                  <c:v>304.40000000000009</c:v>
                </c:pt>
                <c:pt idx="8">
                  <c:v>282.24000000000012</c:v>
                </c:pt>
                <c:pt idx="9">
                  <c:v>248.08000000000021</c:v>
                </c:pt>
                <c:pt idx="10">
                  <c:v>201.92000000000002</c:v>
                </c:pt>
                <c:pt idx="11">
                  <c:v>143.76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4-49FB-8D5A-23F7AD335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12064"/>
        <c:axId val="92488832"/>
      </c:scatterChart>
      <c:valAx>
        <c:axId val="59112064"/>
        <c:scaling>
          <c:orientation val="minMax"/>
          <c:max val="145"/>
          <c:min val="25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Printer Price</a:t>
                </a:r>
              </a:p>
            </c:rich>
          </c:tx>
          <c:layout>
            <c:manualLayout>
              <c:xMode val="edge"/>
              <c:yMode val="edge"/>
              <c:x val="0.47717842323651488"/>
              <c:y val="0.935879945429740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488832"/>
        <c:crosses val="autoZero"/>
        <c:crossBetween val="midCat"/>
        <c:majorUnit val="5"/>
      </c:valAx>
      <c:valAx>
        <c:axId val="92488832"/>
        <c:scaling>
          <c:orientation val="minMax"/>
          <c:max val="180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112064"/>
        <c:crosses val="autoZero"/>
        <c:crossBetween val="midCat"/>
        <c:majorUnit val="100"/>
        <c:minorUnit val="2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917012448132752"/>
          <c:y val="0.13778990450204687"/>
          <c:w val="0.18257261410788381"/>
          <c:h val="0.12414733969986308"/>
        </c:manualLayout>
      </c:layout>
      <c:overlay val="0"/>
      <c:spPr>
        <a:solidFill>
          <a:srgbClr val="FFFFFF"/>
        </a:solidFill>
        <a:ln w="3175">
          <a:solidFill>
            <a:srgbClr val="969696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969696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Sensitivity Analysis</a:t>
            </a:r>
          </a:p>
        </c:rich>
      </c:tx>
      <c:layout>
        <c:manualLayout>
          <c:xMode val="edge"/>
          <c:yMode val="edge"/>
          <c:x val="0.39336099585062501"/>
          <c:y val="2.04638472032743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12033195020747"/>
          <c:y val="0.12005457025920872"/>
          <c:w val="0.75601659751037364"/>
          <c:h val="0.76125511596180084"/>
        </c:manualLayout>
      </c:layout>
      <c:scatterChart>
        <c:scatterStyle val="lineMarker"/>
        <c:varyColors val="0"/>
        <c:ser>
          <c:idx val="9"/>
          <c:order val="0"/>
          <c:tx>
            <c:strRef>
              <c:f>'Model(2)'!$O$9</c:f>
              <c:strCache>
                <c:ptCount val="1"/>
                <c:pt idx="0">
                  <c:v>-0.01</c:v>
                </c:pt>
              </c:strCache>
            </c:strRef>
          </c:tx>
          <c:spPr>
            <a:ln w="12700">
              <a:solidFill>
                <a:srgbClr val="003366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CC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'Model(2)'!$C$10:$C$21</c:f>
              <c:numCache>
                <c:formatCode>0.0</c:formatCode>
                <c:ptCount val="12"/>
                <c:pt idx="0">
                  <c:v>4.5999999999999996</c:v>
                </c:pt>
                <c:pt idx="1">
                  <c:v>4.8</c:v>
                </c:pt>
                <c:pt idx="2">
                  <c:v>5</c:v>
                </c:pt>
                <c:pt idx="3">
                  <c:v>5.2</c:v>
                </c:pt>
                <c:pt idx="4">
                  <c:v>5.4</c:v>
                </c:pt>
                <c:pt idx="5">
                  <c:v>5.6</c:v>
                </c:pt>
                <c:pt idx="6">
                  <c:v>5.8</c:v>
                </c:pt>
                <c:pt idx="7">
                  <c:v>6</c:v>
                </c:pt>
                <c:pt idx="8">
                  <c:v>6.2</c:v>
                </c:pt>
                <c:pt idx="9">
                  <c:v>6.4</c:v>
                </c:pt>
                <c:pt idx="10">
                  <c:v>6.6</c:v>
                </c:pt>
                <c:pt idx="11">
                  <c:v>6.8</c:v>
                </c:pt>
              </c:numCache>
            </c:numRef>
          </c:xVal>
          <c:yVal>
            <c:numRef>
              <c:f>'Model(2)'!$O$10:$O$21</c:f>
              <c:numCache>
                <c:formatCode>"$"#,##0_);[Red]\("$"#,##0\)</c:formatCode>
                <c:ptCount val="12"/>
                <c:pt idx="0">
                  <c:v>2424.6459999999993</c:v>
                </c:pt>
                <c:pt idx="1">
                  <c:v>2518.3479999999995</c:v>
                </c:pt>
                <c:pt idx="2">
                  <c:v>2612.0499999999997</c:v>
                </c:pt>
                <c:pt idx="3">
                  <c:v>2705.752</c:v>
                </c:pt>
                <c:pt idx="4">
                  <c:v>2799.4540000000002</c:v>
                </c:pt>
                <c:pt idx="5">
                  <c:v>2893.1559999999995</c:v>
                </c:pt>
                <c:pt idx="6">
                  <c:v>2986.8579999999993</c:v>
                </c:pt>
                <c:pt idx="7">
                  <c:v>3080.5599999999995</c:v>
                </c:pt>
                <c:pt idx="8">
                  <c:v>3174.2619999999997</c:v>
                </c:pt>
                <c:pt idx="9">
                  <c:v>3267.9639999999999</c:v>
                </c:pt>
                <c:pt idx="10">
                  <c:v>3361.6659999999997</c:v>
                </c:pt>
                <c:pt idx="11">
                  <c:v>3455.3679999999995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D4-4216-BE00-DD738B981177}"/>
            </c:ext>
          </c:extLst>
        </c:ser>
        <c:ser>
          <c:idx val="11"/>
          <c:order val="1"/>
          <c:tx>
            <c:strRef>
              <c:f>'Model(2)'!$N$9</c:f>
              <c:strCache>
                <c:ptCount val="1"/>
                <c:pt idx="0">
                  <c:v>-0.02</c:v>
                </c:pt>
              </c:strCache>
            </c:strRef>
          </c:tx>
          <c:spPr>
            <a:ln w="12700">
              <a:solidFill>
                <a:srgbClr val="FF99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'Model(2)'!$C$10:$C$21</c:f>
              <c:numCache>
                <c:formatCode>0.0</c:formatCode>
                <c:ptCount val="12"/>
                <c:pt idx="0">
                  <c:v>4.5999999999999996</c:v>
                </c:pt>
                <c:pt idx="1">
                  <c:v>4.8</c:v>
                </c:pt>
                <c:pt idx="2">
                  <c:v>5</c:v>
                </c:pt>
                <c:pt idx="3">
                  <c:v>5.2</c:v>
                </c:pt>
                <c:pt idx="4">
                  <c:v>5.4</c:v>
                </c:pt>
                <c:pt idx="5">
                  <c:v>5.6</c:v>
                </c:pt>
                <c:pt idx="6">
                  <c:v>5.8</c:v>
                </c:pt>
                <c:pt idx="7">
                  <c:v>6</c:v>
                </c:pt>
                <c:pt idx="8">
                  <c:v>6.2</c:v>
                </c:pt>
                <c:pt idx="9">
                  <c:v>6.4</c:v>
                </c:pt>
                <c:pt idx="10">
                  <c:v>6.6</c:v>
                </c:pt>
                <c:pt idx="11">
                  <c:v>6.8</c:v>
                </c:pt>
              </c:numCache>
            </c:numRef>
          </c:xVal>
          <c:yVal>
            <c:numRef>
              <c:f>'Model(2)'!$N$10:$N$21</c:f>
              <c:numCache>
                <c:formatCode>"$"#,##0_);[Red]\("$"#,##0\)</c:formatCode>
                <c:ptCount val="12"/>
                <c:pt idx="0">
                  <c:v>2193.1839999999993</c:v>
                </c:pt>
                <c:pt idx="1">
                  <c:v>2278.1919999999996</c:v>
                </c:pt>
                <c:pt idx="2">
                  <c:v>2363.1999999999994</c:v>
                </c:pt>
                <c:pt idx="3">
                  <c:v>2448.2079999999996</c:v>
                </c:pt>
                <c:pt idx="4">
                  <c:v>2533.2159999999999</c:v>
                </c:pt>
                <c:pt idx="5">
                  <c:v>2618.2239999999997</c:v>
                </c:pt>
                <c:pt idx="6">
                  <c:v>2703.2319999999995</c:v>
                </c:pt>
                <c:pt idx="7">
                  <c:v>2788.24</c:v>
                </c:pt>
                <c:pt idx="8">
                  <c:v>2873.2479999999996</c:v>
                </c:pt>
                <c:pt idx="9">
                  <c:v>2958.2559999999994</c:v>
                </c:pt>
                <c:pt idx="10">
                  <c:v>3043.2639999999992</c:v>
                </c:pt>
                <c:pt idx="11">
                  <c:v>3128.2719999999995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D4-4216-BE00-DD738B981177}"/>
            </c:ext>
          </c:extLst>
        </c:ser>
        <c:ser>
          <c:idx val="10"/>
          <c:order val="2"/>
          <c:tx>
            <c:strRef>
              <c:f>'Model(2)'!$M$9</c:f>
              <c:strCache>
                <c:ptCount val="1"/>
                <c:pt idx="0">
                  <c:v>-0.03</c:v>
                </c:pt>
              </c:strCache>
            </c:strRef>
          </c:tx>
          <c:spPr>
            <a:ln w="12700">
              <a:solidFill>
                <a:srgbClr val="808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808000"/>
              </a:solidFill>
              <a:ln>
                <a:solidFill>
                  <a:srgbClr val="808000"/>
                </a:solidFill>
                <a:prstDash val="solid"/>
              </a:ln>
            </c:spPr>
          </c:marker>
          <c:xVal>
            <c:numRef>
              <c:f>'Model(2)'!$C$10:$C$21</c:f>
              <c:numCache>
                <c:formatCode>0.0</c:formatCode>
                <c:ptCount val="12"/>
                <c:pt idx="0">
                  <c:v>4.5999999999999996</c:v>
                </c:pt>
                <c:pt idx="1">
                  <c:v>4.8</c:v>
                </c:pt>
                <c:pt idx="2">
                  <c:v>5</c:v>
                </c:pt>
                <c:pt idx="3">
                  <c:v>5.2</c:v>
                </c:pt>
                <c:pt idx="4">
                  <c:v>5.4</c:v>
                </c:pt>
                <c:pt idx="5">
                  <c:v>5.6</c:v>
                </c:pt>
                <c:pt idx="6">
                  <c:v>5.8</c:v>
                </c:pt>
                <c:pt idx="7">
                  <c:v>6</c:v>
                </c:pt>
                <c:pt idx="8">
                  <c:v>6.2</c:v>
                </c:pt>
                <c:pt idx="9">
                  <c:v>6.4</c:v>
                </c:pt>
                <c:pt idx="10">
                  <c:v>6.6</c:v>
                </c:pt>
                <c:pt idx="11">
                  <c:v>6.8</c:v>
                </c:pt>
              </c:numCache>
            </c:numRef>
          </c:xVal>
          <c:yVal>
            <c:numRef>
              <c:f>'Model(2)'!$M$10:$M$21</c:f>
              <c:numCache>
                <c:formatCode>"$"#,##0_);[Red]\("$"#,##0\)</c:formatCode>
                <c:ptCount val="12"/>
                <c:pt idx="0">
                  <c:v>1961.7219999999998</c:v>
                </c:pt>
                <c:pt idx="1">
                  <c:v>2038.0360000000001</c:v>
                </c:pt>
                <c:pt idx="2">
                  <c:v>2114.35</c:v>
                </c:pt>
                <c:pt idx="3">
                  <c:v>2190.6640000000002</c:v>
                </c:pt>
                <c:pt idx="4">
                  <c:v>2266.9780000000001</c:v>
                </c:pt>
                <c:pt idx="5">
                  <c:v>2343.2919999999999</c:v>
                </c:pt>
                <c:pt idx="6">
                  <c:v>2419.6059999999998</c:v>
                </c:pt>
                <c:pt idx="7">
                  <c:v>2495.92</c:v>
                </c:pt>
                <c:pt idx="8">
                  <c:v>2572.2339999999999</c:v>
                </c:pt>
                <c:pt idx="9">
                  <c:v>2648.5479999999998</c:v>
                </c:pt>
                <c:pt idx="10">
                  <c:v>2724.8620000000001</c:v>
                </c:pt>
                <c:pt idx="11">
                  <c:v>2801.1759999999999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D4-4216-BE00-DD738B981177}"/>
            </c:ext>
          </c:extLst>
        </c:ser>
        <c:ser>
          <c:idx val="8"/>
          <c:order val="3"/>
          <c:tx>
            <c:strRef>
              <c:f>'Model(2)'!$L$9</c:f>
              <c:strCache>
                <c:ptCount val="1"/>
                <c:pt idx="0">
                  <c:v>-0.04</c:v>
                </c:pt>
              </c:strCache>
            </c:strRef>
          </c:tx>
          <c:spPr>
            <a:ln w="12700">
              <a:solidFill>
                <a:srgbClr val="FF99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CC99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'Model(2)'!$C$10:$C$21</c:f>
              <c:numCache>
                <c:formatCode>0.0</c:formatCode>
                <c:ptCount val="12"/>
                <c:pt idx="0">
                  <c:v>4.5999999999999996</c:v>
                </c:pt>
                <c:pt idx="1">
                  <c:v>4.8</c:v>
                </c:pt>
                <c:pt idx="2">
                  <c:v>5</c:v>
                </c:pt>
                <c:pt idx="3">
                  <c:v>5.2</c:v>
                </c:pt>
                <c:pt idx="4">
                  <c:v>5.4</c:v>
                </c:pt>
                <c:pt idx="5">
                  <c:v>5.6</c:v>
                </c:pt>
                <c:pt idx="6">
                  <c:v>5.8</c:v>
                </c:pt>
                <c:pt idx="7">
                  <c:v>6</c:v>
                </c:pt>
                <c:pt idx="8">
                  <c:v>6.2</c:v>
                </c:pt>
                <c:pt idx="9">
                  <c:v>6.4</c:v>
                </c:pt>
                <c:pt idx="10">
                  <c:v>6.6</c:v>
                </c:pt>
                <c:pt idx="11">
                  <c:v>6.8</c:v>
                </c:pt>
              </c:numCache>
            </c:numRef>
          </c:xVal>
          <c:yVal>
            <c:numRef>
              <c:f>'Model(2)'!$L$10:$L$21</c:f>
              <c:numCache>
                <c:formatCode>"$"#,##0_);[Red]\("$"#,##0\)</c:formatCode>
                <c:ptCount val="12"/>
                <c:pt idx="0">
                  <c:v>1730.2599999999998</c:v>
                </c:pt>
                <c:pt idx="1">
                  <c:v>1797.8799999999999</c:v>
                </c:pt>
                <c:pt idx="2">
                  <c:v>1865.5</c:v>
                </c:pt>
                <c:pt idx="3">
                  <c:v>1933.12</c:v>
                </c:pt>
                <c:pt idx="4">
                  <c:v>2000.7399999999998</c:v>
                </c:pt>
                <c:pt idx="5">
                  <c:v>2068.3599999999997</c:v>
                </c:pt>
                <c:pt idx="6">
                  <c:v>2135.98</c:v>
                </c:pt>
                <c:pt idx="7">
                  <c:v>2203.6</c:v>
                </c:pt>
                <c:pt idx="8">
                  <c:v>2271.2199999999998</c:v>
                </c:pt>
                <c:pt idx="9">
                  <c:v>2338.84</c:v>
                </c:pt>
                <c:pt idx="10">
                  <c:v>2406.4599999999996</c:v>
                </c:pt>
                <c:pt idx="11">
                  <c:v>2474.08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D4-4216-BE00-DD738B981177}"/>
            </c:ext>
          </c:extLst>
        </c:ser>
        <c:ser>
          <c:idx val="7"/>
          <c:order val="4"/>
          <c:tx>
            <c:strRef>
              <c:f>'Model(2)'!$K$9</c:f>
              <c:strCache>
                <c:ptCount val="1"/>
                <c:pt idx="0">
                  <c:v>-0.05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'Model(2)'!$C$10:$C$21</c:f>
              <c:numCache>
                <c:formatCode>0.0</c:formatCode>
                <c:ptCount val="12"/>
                <c:pt idx="0">
                  <c:v>4.5999999999999996</c:v>
                </c:pt>
                <c:pt idx="1">
                  <c:v>4.8</c:v>
                </c:pt>
                <c:pt idx="2">
                  <c:v>5</c:v>
                </c:pt>
                <c:pt idx="3">
                  <c:v>5.2</c:v>
                </c:pt>
                <c:pt idx="4">
                  <c:v>5.4</c:v>
                </c:pt>
                <c:pt idx="5">
                  <c:v>5.6</c:v>
                </c:pt>
                <c:pt idx="6">
                  <c:v>5.8</c:v>
                </c:pt>
                <c:pt idx="7">
                  <c:v>6</c:v>
                </c:pt>
                <c:pt idx="8">
                  <c:v>6.2</c:v>
                </c:pt>
                <c:pt idx="9">
                  <c:v>6.4</c:v>
                </c:pt>
                <c:pt idx="10">
                  <c:v>6.6</c:v>
                </c:pt>
                <c:pt idx="11">
                  <c:v>6.8</c:v>
                </c:pt>
              </c:numCache>
            </c:numRef>
          </c:xVal>
          <c:yVal>
            <c:numRef>
              <c:f>'Model(2)'!$K$10:$K$21</c:f>
              <c:numCache>
                <c:formatCode>"$"#,##0_);[Red]\("$"#,##0\)</c:formatCode>
                <c:ptCount val="12"/>
                <c:pt idx="0">
                  <c:v>1498.7979999999998</c:v>
                </c:pt>
                <c:pt idx="1">
                  <c:v>1557.7239999999997</c:v>
                </c:pt>
                <c:pt idx="2">
                  <c:v>1616.6499999999999</c:v>
                </c:pt>
                <c:pt idx="3">
                  <c:v>1675.5759999999998</c:v>
                </c:pt>
                <c:pt idx="4">
                  <c:v>1734.5019999999997</c:v>
                </c:pt>
                <c:pt idx="5">
                  <c:v>1793.4279999999997</c:v>
                </c:pt>
                <c:pt idx="6">
                  <c:v>1852.3539999999996</c:v>
                </c:pt>
                <c:pt idx="7">
                  <c:v>1911.2799999999995</c:v>
                </c:pt>
                <c:pt idx="8">
                  <c:v>1970.2059999999999</c:v>
                </c:pt>
                <c:pt idx="9">
                  <c:v>2029.1319999999996</c:v>
                </c:pt>
                <c:pt idx="10">
                  <c:v>2088.058</c:v>
                </c:pt>
                <c:pt idx="11">
                  <c:v>2146.9839999999995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D4-4216-BE00-DD738B981177}"/>
            </c:ext>
          </c:extLst>
        </c:ser>
        <c:ser>
          <c:idx val="6"/>
          <c:order val="5"/>
          <c:tx>
            <c:strRef>
              <c:f>'Model(2)'!$J$9</c:f>
              <c:strCache>
                <c:ptCount val="1"/>
                <c:pt idx="0">
                  <c:v>-0.06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'Model(2)'!$C$10:$C$21</c:f>
              <c:numCache>
                <c:formatCode>0.0</c:formatCode>
                <c:ptCount val="12"/>
                <c:pt idx="0">
                  <c:v>4.5999999999999996</c:v>
                </c:pt>
                <c:pt idx="1">
                  <c:v>4.8</c:v>
                </c:pt>
                <c:pt idx="2">
                  <c:v>5</c:v>
                </c:pt>
                <c:pt idx="3">
                  <c:v>5.2</c:v>
                </c:pt>
                <c:pt idx="4">
                  <c:v>5.4</c:v>
                </c:pt>
                <c:pt idx="5">
                  <c:v>5.6</c:v>
                </c:pt>
                <c:pt idx="6">
                  <c:v>5.8</c:v>
                </c:pt>
                <c:pt idx="7">
                  <c:v>6</c:v>
                </c:pt>
                <c:pt idx="8">
                  <c:v>6.2</c:v>
                </c:pt>
                <c:pt idx="9">
                  <c:v>6.4</c:v>
                </c:pt>
                <c:pt idx="10">
                  <c:v>6.6</c:v>
                </c:pt>
                <c:pt idx="11">
                  <c:v>6.8</c:v>
                </c:pt>
              </c:numCache>
            </c:numRef>
          </c:xVal>
          <c:yVal>
            <c:numRef>
              <c:f>'Model(2)'!$J$10:$J$21</c:f>
              <c:numCache>
                <c:formatCode>"$"#,##0_);[Red]\("$"#,##0\)</c:formatCode>
                <c:ptCount val="12"/>
                <c:pt idx="0">
                  <c:v>1267.3359999999998</c:v>
                </c:pt>
                <c:pt idx="1">
                  <c:v>1317.568</c:v>
                </c:pt>
                <c:pt idx="2">
                  <c:v>1367.8</c:v>
                </c:pt>
                <c:pt idx="3">
                  <c:v>1418.0320000000002</c:v>
                </c:pt>
                <c:pt idx="4">
                  <c:v>1468.2639999999999</c:v>
                </c:pt>
                <c:pt idx="5">
                  <c:v>1518.4959999999999</c:v>
                </c:pt>
                <c:pt idx="6">
                  <c:v>1568.7279999999998</c:v>
                </c:pt>
                <c:pt idx="7">
                  <c:v>1618.96</c:v>
                </c:pt>
                <c:pt idx="8">
                  <c:v>1669.192</c:v>
                </c:pt>
                <c:pt idx="9">
                  <c:v>1719.424</c:v>
                </c:pt>
                <c:pt idx="10">
                  <c:v>1769.6559999999999</c:v>
                </c:pt>
                <c:pt idx="11">
                  <c:v>1819.8879999999999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D4-4216-BE00-DD738B981177}"/>
            </c:ext>
          </c:extLst>
        </c:ser>
        <c:ser>
          <c:idx val="5"/>
          <c:order val="6"/>
          <c:tx>
            <c:strRef>
              <c:f>'Model(2)'!$I$9</c:f>
              <c:strCache>
                <c:ptCount val="1"/>
                <c:pt idx="0">
                  <c:v>-0.07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'Model(2)'!$C$10:$C$21</c:f>
              <c:numCache>
                <c:formatCode>0.0</c:formatCode>
                <c:ptCount val="12"/>
                <c:pt idx="0">
                  <c:v>4.5999999999999996</c:v>
                </c:pt>
                <c:pt idx="1">
                  <c:v>4.8</c:v>
                </c:pt>
                <c:pt idx="2">
                  <c:v>5</c:v>
                </c:pt>
                <c:pt idx="3">
                  <c:v>5.2</c:v>
                </c:pt>
                <c:pt idx="4">
                  <c:v>5.4</c:v>
                </c:pt>
                <c:pt idx="5">
                  <c:v>5.6</c:v>
                </c:pt>
                <c:pt idx="6">
                  <c:v>5.8</c:v>
                </c:pt>
                <c:pt idx="7">
                  <c:v>6</c:v>
                </c:pt>
                <c:pt idx="8">
                  <c:v>6.2</c:v>
                </c:pt>
                <c:pt idx="9">
                  <c:v>6.4</c:v>
                </c:pt>
                <c:pt idx="10">
                  <c:v>6.6</c:v>
                </c:pt>
                <c:pt idx="11">
                  <c:v>6.8</c:v>
                </c:pt>
              </c:numCache>
            </c:numRef>
          </c:xVal>
          <c:yVal>
            <c:numRef>
              <c:f>'Model(2)'!$I$10:$I$21</c:f>
              <c:numCache>
                <c:formatCode>"$"#,##0_);[Red]\("$"#,##0\)</c:formatCode>
                <c:ptCount val="12"/>
                <c:pt idx="0">
                  <c:v>1035.8739999999996</c:v>
                </c:pt>
                <c:pt idx="1">
                  <c:v>1077.4119999999996</c:v>
                </c:pt>
                <c:pt idx="2">
                  <c:v>1118.9499999999996</c:v>
                </c:pt>
                <c:pt idx="3">
                  <c:v>1160.4879999999998</c:v>
                </c:pt>
                <c:pt idx="4">
                  <c:v>1202.0259999999996</c:v>
                </c:pt>
                <c:pt idx="5">
                  <c:v>1243.5639999999994</c:v>
                </c:pt>
                <c:pt idx="6">
                  <c:v>1285.1019999999996</c:v>
                </c:pt>
                <c:pt idx="7">
                  <c:v>1326.6399999999996</c:v>
                </c:pt>
                <c:pt idx="8">
                  <c:v>1368.1779999999997</c:v>
                </c:pt>
                <c:pt idx="9">
                  <c:v>1409.7159999999997</c:v>
                </c:pt>
                <c:pt idx="10">
                  <c:v>1451.2539999999995</c:v>
                </c:pt>
                <c:pt idx="11">
                  <c:v>1492.7919999999995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D4-4216-BE00-DD738B981177}"/>
            </c:ext>
          </c:extLst>
        </c:ser>
        <c:ser>
          <c:idx val="4"/>
          <c:order val="7"/>
          <c:tx>
            <c:strRef>
              <c:f>'Model(2)'!$H$9</c:f>
              <c:strCache>
                <c:ptCount val="1"/>
                <c:pt idx="0">
                  <c:v>-0.08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'Model(2)'!$C$10:$C$21</c:f>
              <c:numCache>
                <c:formatCode>0.0</c:formatCode>
                <c:ptCount val="12"/>
                <c:pt idx="0">
                  <c:v>4.5999999999999996</c:v>
                </c:pt>
                <c:pt idx="1">
                  <c:v>4.8</c:v>
                </c:pt>
                <c:pt idx="2">
                  <c:v>5</c:v>
                </c:pt>
                <c:pt idx="3">
                  <c:v>5.2</c:v>
                </c:pt>
                <c:pt idx="4">
                  <c:v>5.4</c:v>
                </c:pt>
                <c:pt idx="5">
                  <c:v>5.6</c:v>
                </c:pt>
                <c:pt idx="6">
                  <c:v>5.8</c:v>
                </c:pt>
                <c:pt idx="7">
                  <c:v>6</c:v>
                </c:pt>
                <c:pt idx="8">
                  <c:v>6.2</c:v>
                </c:pt>
                <c:pt idx="9">
                  <c:v>6.4</c:v>
                </c:pt>
                <c:pt idx="10">
                  <c:v>6.6</c:v>
                </c:pt>
                <c:pt idx="11">
                  <c:v>6.8</c:v>
                </c:pt>
              </c:numCache>
            </c:numRef>
          </c:xVal>
          <c:yVal>
            <c:numRef>
              <c:f>'Model(2)'!$H$10:$H$21</c:f>
              <c:numCache>
                <c:formatCode>"$"#,##0_);[Red]\("$"#,##0\)</c:formatCode>
                <c:ptCount val="12"/>
                <c:pt idx="0">
                  <c:v>804.41199999999981</c:v>
                </c:pt>
                <c:pt idx="1">
                  <c:v>837.25599999999974</c:v>
                </c:pt>
                <c:pt idx="2">
                  <c:v>870.0999999999998</c:v>
                </c:pt>
                <c:pt idx="3">
                  <c:v>902.94399999999973</c:v>
                </c:pt>
                <c:pt idx="4">
                  <c:v>935.7879999999999</c:v>
                </c:pt>
                <c:pt idx="5">
                  <c:v>968.63199999999961</c:v>
                </c:pt>
                <c:pt idx="6">
                  <c:v>1001.4759999999997</c:v>
                </c:pt>
                <c:pt idx="7">
                  <c:v>1034.3199999999997</c:v>
                </c:pt>
                <c:pt idx="8">
                  <c:v>1067.1639999999998</c:v>
                </c:pt>
                <c:pt idx="9">
                  <c:v>1100.0079999999998</c:v>
                </c:pt>
                <c:pt idx="10">
                  <c:v>1132.8519999999996</c:v>
                </c:pt>
                <c:pt idx="11">
                  <c:v>1165.6959999999999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D4-4216-BE00-DD738B981177}"/>
            </c:ext>
          </c:extLst>
        </c:ser>
        <c:ser>
          <c:idx val="3"/>
          <c:order val="8"/>
          <c:tx>
            <c:strRef>
              <c:f>'Model(2)'!$G$9</c:f>
              <c:strCache>
                <c:ptCount val="1"/>
                <c:pt idx="0">
                  <c:v>-0.09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x"/>
            <c:size val="2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'Model(2)'!$C$10:$C$21</c:f>
              <c:numCache>
                <c:formatCode>0.0</c:formatCode>
                <c:ptCount val="12"/>
                <c:pt idx="0">
                  <c:v>4.5999999999999996</c:v>
                </c:pt>
                <c:pt idx="1">
                  <c:v>4.8</c:v>
                </c:pt>
                <c:pt idx="2">
                  <c:v>5</c:v>
                </c:pt>
                <c:pt idx="3">
                  <c:v>5.2</c:v>
                </c:pt>
                <c:pt idx="4">
                  <c:v>5.4</c:v>
                </c:pt>
                <c:pt idx="5">
                  <c:v>5.6</c:v>
                </c:pt>
                <c:pt idx="6">
                  <c:v>5.8</c:v>
                </c:pt>
                <c:pt idx="7">
                  <c:v>6</c:v>
                </c:pt>
                <c:pt idx="8">
                  <c:v>6.2</c:v>
                </c:pt>
                <c:pt idx="9">
                  <c:v>6.4</c:v>
                </c:pt>
                <c:pt idx="10">
                  <c:v>6.6</c:v>
                </c:pt>
                <c:pt idx="11">
                  <c:v>6.8</c:v>
                </c:pt>
              </c:numCache>
            </c:numRef>
          </c:xVal>
          <c:yVal>
            <c:numRef>
              <c:f>'Model(2)'!$G$10:$G$21</c:f>
              <c:numCache>
                <c:formatCode>"$"#,##0_);[Red]\("$"#,##0\)</c:formatCode>
                <c:ptCount val="12"/>
                <c:pt idx="0">
                  <c:v>572.94999999999993</c:v>
                </c:pt>
                <c:pt idx="1">
                  <c:v>597.09999999999991</c:v>
                </c:pt>
                <c:pt idx="2">
                  <c:v>621.25</c:v>
                </c:pt>
                <c:pt idx="3">
                  <c:v>645.4</c:v>
                </c:pt>
                <c:pt idx="4">
                  <c:v>669.55</c:v>
                </c:pt>
                <c:pt idx="5">
                  <c:v>693.69999999999993</c:v>
                </c:pt>
                <c:pt idx="6">
                  <c:v>717.84999999999991</c:v>
                </c:pt>
                <c:pt idx="7">
                  <c:v>742</c:v>
                </c:pt>
                <c:pt idx="8">
                  <c:v>766.15</c:v>
                </c:pt>
                <c:pt idx="9">
                  <c:v>790.3</c:v>
                </c:pt>
                <c:pt idx="10">
                  <c:v>814.44999999999993</c:v>
                </c:pt>
                <c:pt idx="11">
                  <c:v>838.59999999999991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D4-4216-BE00-DD738B981177}"/>
            </c:ext>
          </c:extLst>
        </c:ser>
        <c:ser>
          <c:idx val="2"/>
          <c:order val="9"/>
          <c:tx>
            <c:strRef>
              <c:f>'Model(2)'!$F$9</c:f>
              <c:strCache>
                <c:ptCount val="1"/>
                <c:pt idx="0">
                  <c:v>-0.10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'Model(2)'!$C$10:$C$21</c:f>
              <c:numCache>
                <c:formatCode>0.0</c:formatCode>
                <c:ptCount val="12"/>
                <c:pt idx="0">
                  <c:v>4.5999999999999996</c:v>
                </c:pt>
                <c:pt idx="1">
                  <c:v>4.8</c:v>
                </c:pt>
                <c:pt idx="2">
                  <c:v>5</c:v>
                </c:pt>
                <c:pt idx="3">
                  <c:v>5.2</c:v>
                </c:pt>
                <c:pt idx="4">
                  <c:v>5.4</c:v>
                </c:pt>
                <c:pt idx="5">
                  <c:v>5.6</c:v>
                </c:pt>
                <c:pt idx="6">
                  <c:v>5.8</c:v>
                </c:pt>
                <c:pt idx="7">
                  <c:v>6</c:v>
                </c:pt>
                <c:pt idx="8">
                  <c:v>6.2</c:v>
                </c:pt>
                <c:pt idx="9">
                  <c:v>6.4</c:v>
                </c:pt>
                <c:pt idx="10">
                  <c:v>6.6</c:v>
                </c:pt>
                <c:pt idx="11">
                  <c:v>6.8</c:v>
                </c:pt>
              </c:numCache>
            </c:numRef>
          </c:xVal>
          <c:yVal>
            <c:numRef>
              <c:f>'Model(2)'!$F$10:$F$21</c:f>
              <c:numCache>
                <c:formatCode>"$"#,##0_);[Red]\("$"#,##0\)</c:formatCode>
                <c:ptCount val="12"/>
                <c:pt idx="0">
                  <c:v>341.48799999999989</c:v>
                </c:pt>
                <c:pt idx="1">
                  <c:v>356.9439999999999</c:v>
                </c:pt>
                <c:pt idx="2">
                  <c:v>372.39999999999986</c:v>
                </c:pt>
                <c:pt idx="3">
                  <c:v>387.85599999999988</c:v>
                </c:pt>
                <c:pt idx="4">
                  <c:v>403.3119999999999</c:v>
                </c:pt>
                <c:pt idx="5">
                  <c:v>418.76799999999986</c:v>
                </c:pt>
                <c:pt idx="6">
                  <c:v>434.22399999999988</c:v>
                </c:pt>
                <c:pt idx="7">
                  <c:v>449.67999999999984</c:v>
                </c:pt>
                <c:pt idx="8">
                  <c:v>465.13599999999985</c:v>
                </c:pt>
                <c:pt idx="9">
                  <c:v>480.59199999999987</c:v>
                </c:pt>
                <c:pt idx="10">
                  <c:v>496.04799999999977</c:v>
                </c:pt>
                <c:pt idx="11">
                  <c:v>511.50399999999979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D4-4216-BE00-DD738B981177}"/>
            </c:ext>
          </c:extLst>
        </c:ser>
        <c:ser>
          <c:idx val="1"/>
          <c:order val="10"/>
          <c:tx>
            <c:strRef>
              <c:f>'Model(2)'!$E$9</c:f>
              <c:strCache>
                <c:ptCount val="1"/>
                <c:pt idx="0">
                  <c:v>-0.11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'Model(2)'!$C$10:$C$21</c:f>
              <c:numCache>
                <c:formatCode>0.0</c:formatCode>
                <c:ptCount val="12"/>
                <c:pt idx="0">
                  <c:v>4.5999999999999996</c:v>
                </c:pt>
                <c:pt idx="1">
                  <c:v>4.8</c:v>
                </c:pt>
                <c:pt idx="2">
                  <c:v>5</c:v>
                </c:pt>
                <c:pt idx="3">
                  <c:v>5.2</c:v>
                </c:pt>
                <c:pt idx="4">
                  <c:v>5.4</c:v>
                </c:pt>
                <c:pt idx="5">
                  <c:v>5.6</c:v>
                </c:pt>
                <c:pt idx="6">
                  <c:v>5.8</c:v>
                </c:pt>
                <c:pt idx="7">
                  <c:v>6</c:v>
                </c:pt>
                <c:pt idx="8">
                  <c:v>6.2</c:v>
                </c:pt>
                <c:pt idx="9">
                  <c:v>6.4</c:v>
                </c:pt>
                <c:pt idx="10">
                  <c:v>6.6</c:v>
                </c:pt>
                <c:pt idx="11">
                  <c:v>6.8</c:v>
                </c:pt>
              </c:numCache>
            </c:numRef>
          </c:xVal>
          <c:yVal>
            <c:numRef>
              <c:f>'Model(2)'!$E$10:$E$21</c:f>
              <c:numCache>
                <c:formatCode>"$"#,##0_);[Red]\("$"#,##0\)</c:formatCode>
                <c:ptCount val="12"/>
                <c:pt idx="0">
                  <c:v>110.02599999999981</c:v>
                </c:pt>
                <c:pt idx="1">
                  <c:v>116.78799999999978</c:v>
                </c:pt>
                <c:pt idx="2">
                  <c:v>123.54999999999978</c:v>
                </c:pt>
                <c:pt idx="3">
                  <c:v>130.31199999999978</c:v>
                </c:pt>
                <c:pt idx="4">
                  <c:v>137.07399999999978</c:v>
                </c:pt>
                <c:pt idx="5">
                  <c:v>143.83599999999976</c:v>
                </c:pt>
                <c:pt idx="6">
                  <c:v>150.59799999999976</c:v>
                </c:pt>
                <c:pt idx="7">
                  <c:v>157.35999999999976</c:v>
                </c:pt>
                <c:pt idx="8">
                  <c:v>164.12199999999973</c:v>
                </c:pt>
                <c:pt idx="9">
                  <c:v>170.88399999999976</c:v>
                </c:pt>
                <c:pt idx="10">
                  <c:v>177.6459999999997</c:v>
                </c:pt>
                <c:pt idx="11">
                  <c:v>184.40799999999973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D4-4216-BE00-DD738B981177}"/>
            </c:ext>
          </c:extLst>
        </c:ser>
        <c:ser>
          <c:idx val="0"/>
          <c:order val="11"/>
          <c:tx>
            <c:strRef>
              <c:f>'Model(2)'!$D$9</c:f>
              <c:strCache>
                <c:ptCount val="1"/>
                <c:pt idx="0">
                  <c:v>-0.12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'Model(2)'!$C$10:$C$21</c:f>
              <c:numCache>
                <c:formatCode>0.0</c:formatCode>
                <c:ptCount val="12"/>
                <c:pt idx="0">
                  <c:v>4.5999999999999996</c:v>
                </c:pt>
                <c:pt idx="1">
                  <c:v>4.8</c:v>
                </c:pt>
                <c:pt idx="2">
                  <c:v>5</c:v>
                </c:pt>
                <c:pt idx="3">
                  <c:v>5.2</c:v>
                </c:pt>
                <c:pt idx="4">
                  <c:v>5.4</c:v>
                </c:pt>
                <c:pt idx="5">
                  <c:v>5.6</c:v>
                </c:pt>
                <c:pt idx="6">
                  <c:v>5.8</c:v>
                </c:pt>
                <c:pt idx="7">
                  <c:v>6</c:v>
                </c:pt>
                <c:pt idx="8">
                  <c:v>6.2</c:v>
                </c:pt>
                <c:pt idx="9">
                  <c:v>6.4</c:v>
                </c:pt>
                <c:pt idx="10">
                  <c:v>6.6</c:v>
                </c:pt>
                <c:pt idx="11">
                  <c:v>6.8</c:v>
                </c:pt>
              </c:numCache>
            </c:numRef>
          </c:xVal>
          <c:yVal>
            <c:numRef>
              <c:f>'Model(2)'!$D$10:$D$21</c:f>
              <c:numCache>
                <c:formatCode>"$"#,##0_);[Red]\("$"#,##0\)</c:formatCode>
                <c:ptCount val="12"/>
                <c:pt idx="0">
                  <c:v>-121.43599999999981</c:v>
                </c:pt>
                <c:pt idx="1">
                  <c:v>-123.36799999999981</c:v>
                </c:pt>
                <c:pt idx="2">
                  <c:v>-125.2999999999998</c:v>
                </c:pt>
                <c:pt idx="3">
                  <c:v>-127.23199999999979</c:v>
                </c:pt>
                <c:pt idx="4">
                  <c:v>-129.16399999999979</c:v>
                </c:pt>
                <c:pt idx="5">
                  <c:v>-131.09599999999978</c:v>
                </c:pt>
                <c:pt idx="6">
                  <c:v>-133.02799999999979</c:v>
                </c:pt>
                <c:pt idx="7">
                  <c:v>-134.95999999999975</c:v>
                </c:pt>
                <c:pt idx="8">
                  <c:v>-136.89199999999977</c:v>
                </c:pt>
                <c:pt idx="9">
                  <c:v>-138.82399999999976</c:v>
                </c:pt>
                <c:pt idx="10">
                  <c:v>-140.75599999999974</c:v>
                </c:pt>
                <c:pt idx="11">
                  <c:v>-142.68799999999973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D4-4216-BE00-DD738B98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65824"/>
        <c:axId val="113213440"/>
      </c:scatterChart>
      <c:valAx>
        <c:axId val="113165824"/>
        <c:scaling>
          <c:orientation val="minMax"/>
          <c:min val="4.4000000000000004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Cartridge per printer sold</a:t>
                </a:r>
              </a:p>
            </c:rich>
          </c:tx>
          <c:layout>
            <c:manualLayout>
              <c:xMode val="edge"/>
              <c:yMode val="edge"/>
              <c:x val="0.40580912863070545"/>
              <c:y val="0.9358799454297408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213440"/>
        <c:crossesAt val="-1500000"/>
        <c:crossBetween val="midCat"/>
        <c:majorUnit val="0.2"/>
      </c:valAx>
      <c:valAx>
        <c:axId val="113213440"/>
        <c:scaling>
          <c:orientation val="minMax"/>
          <c:max val="4000"/>
          <c:min val="-40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 Profit </a:t>
                </a:r>
              </a:p>
            </c:rich>
          </c:tx>
          <c:layout>
            <c:manualLayout>
              <c:xMode val="edge"/>
              <c:yMode val="edge"/>
              <c:x val="2.2406639004149402E-2"/>
              <c:y val="0.43246930422919538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165824"/>
        <c:crosses val="autoZero"/>
        <c:crossBetween val="midCat"/>
        <c:majorUnit val="2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3734439834027"/>
          <c:y val="0.15279672578444792"/>
          <c:w val="8.1327800829875521E-2"/>
          <c:h val="0.74215552523874484"/>
        </c:manualLayout>
      </c:layout>
      <c:overlay val="0"/>
      <c:spPr>
        <a:solidFill>
          <a:srgbClr val="FFFFFF"/>
        </a:solidFill>
        <a:ln w="3175">
          <a:solidFill>
            <a:srgbClr val="969696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969696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Relationship Id="rId4" Type="http://schemas.openxmlformats.org/officeDocument/2006/relationships/drawing" Target="../drawings/drawing8.xml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Relationship Id="rId4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Sheet14">
    <tabColor indexed="13"/>
  </sheetPr>
  <sheetViews>
    <sheetView zoomScale="80" workbookViewId="0"/>
  </sheetViews>
  <customSheetViews>
    <customSheetView guid="{18D261E6-8F6E-4DCF-A3D9-294C7EF5648B}" scale="87">
      <pageMargins left="0.75" right="0.75" top="1" bottom="1" header="0.5" footer="0.5"/>
      <pageSetup paperSize="9" orientation="landscape" verticalDpi="0" r:id="rId1"/>
      <headerFooter alignWithMargins="0">
        <oddFooter>&amp;LLeongTY&amp;R&amp;F/&amp;A</oddFooter>
      </headerFooter>
    </customSheetView>
    <customSheetView guid="{41690409-2766-4911-B71D-0C470EB1EC9C}" scale="87">
      <pageMargins left="0.75" right="0.75" top="1" bottom="1" header="0.5" footer="0.5"/>
      <pageSetup paperSize="9" orientation="landscape" verticalDpi="0" r:id="rId2"/>
      <headerFooter alignWithMargins="0">
        <oddFooter>&amp;LLeongTY&amp;R&amp;F/&amp;A</oddFooter>
      </headerFooter>
    </customSheetView>
  </customSheetViews>
  <pageMargins left="0.74803149606299213" right="0.74803149606299213" top="0.74803149606299213" bottom="0.74803149606299213" header="0.31496062992125984" footer="0.31496062992125984"/>
  <pageSetup paperSize="9" orientation="landscape" r:id="rId3"/>
  <headerFooter alignWithMargins="0">
    <oddHeader>&amp;RCopyright (c) Leong Thin Yin, 2007. All Rights Reserved.</oddHeader>
    <oddFooter>&amp;LLeongTY&amp;R&amp;F/&amp;A</oddFooter>
  </headerFooter>
  <drawing r:id="rId4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Sheet15">
    <tabColor indexed="13"/>
  </sheetPr>
  <sheetViews>
    <sheetView tabSelected="1" zoomScale="80" workbookViewId="0"/>
  </sheetViews>
  <customSheetViews>
    <customSheetView guid="{18D261E6-8F6E-4DCF-A3D9-294C7EF5648B}" scale="87">
      <pageMargins left="0.75" right="0.75" top="1" bottom="1" header="0.5" footer="0.5"/>
      <pageSetup paperSize="9" orientation="landscape" verticalDpi="0" r:id="rId1"/>
      <headerFooter alignWithMargins="0"/>
    </customSheetView>
    <customSheetView guid="{41690409-2766-4911-B71D-0C470EB1EC9C}" scale="87">
      <pageMargins left="0.75" right="0.75" top="1" bottom="1" header="0.5" footer="0.5"/>
      <pageSetup paperSize="9" orientation="landscape" verticalDpi="0" r:id="rId2"/>
      <headerFooter alignWithMargins="0"/>
    </customSheetView>
  </customSheetViews>
  <pageMargins left="0.74803149606299213" right="0.74803149606299213" top="0.74803149606299213" bottom="0.74803149606299213" header="0.31496062992125984" footer="0.31496062992125984"/>
  <pageSetup paperSize="9" orientation="landscape" r:id="rId3"/>
  <headerFooter alignWithMargins="0">
    <oddHeader>&amp;RCopyright (c) Leong Thin Yin, 2007. All Rights Reserved.</oddHeader>
    <oddFooter>&amp;LLeongTY&amp;R&amp;F/&amp;A</oddFooter>
  </headerFooter>
  <drawing r:id="rId4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63499</xdr:colOff>
      <xdr:row>1</xdr:row>
      <xdr:rowOff>0</xdr:rowOff>
    </xdr:from>
    <xdr:to>
      <xdr:col>14</xdr:col>
      <xdr:colOff>49872</xdr:colOff>
      <xdr:row>9</xdr:row>
      <xdr:rowOff>7347</xdr:rowOff>
    </xdr:to>
    <xdr:pic>
      <xdr:nvPicPr>
        <xdr:cNvPr id="8194" name="Picture 2">
          <a:extLst>
            <a:ext uri="{FF2B5EF4-FFF2-40B4-BE49-F238E27FC236}">
              <a16:creationId xmlns:a16="http://schemas.microsoft.com/office/drawing/2014/main" id="{00000000-0008-0000-0000-000002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76949" y="165100"/>
          <a:ext cx="1357973" cy="1309097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18</xdr:row>
      <xdr:rowOff>0</xdr:rowOff>
    </xdr:to>
    <xdr:sp macro="[0]!ThisWorkbook.ToggleHideSheets" textlink="">
      <xdr:nvSpPr>
        <xdr:cNvPr id="6" name="Rectangle 2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6736080" y="2857500"/>
          <a:ext cx="655320" cy="1676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sp macro="[0]!ThisWorkbook.ToggleProtectSheets" textlink="">
      <xdr:nvSpPr>
        <xdr:cNvPr id="7" name="Rectangle 2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6736080" y="3192780"/>
          <a:ext cx="655320" cy="1676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647700</xdr:colOff>
      <xdr:row>22</xdr:row>
      <xdr:rowOff>38100</xdr:rowOff>
    </xdr:from>
    <xdr:to>
      <xdr:col>21</xdr:col>
      <xdr:colOff>0</xdr:colOff>
      <xdr:row>30</xdr:row>
      <xdr:rowOff>0</xdr:rowOff>
    </xdr:to>
    <xdr:pic>
      <xdr:nvPicPr>
        <xdr:cNvPr id="2" name="Picture 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660380" y="3756660"/>
          <a:ext cx="1318260" cy="13030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0</xdr:rowOff>
    </xdr:from>
    <xdr:to>
      <xdr:col>7</xdr:col>
      <xdr:colOff>0</xdr:colOff>
      <xdr:row>11</xdr:row>
      <xdr:rowOff>1</xdr:rowOff>
    </xdr:to>
    <xdr:sp macro="" textlink="">
      <xdr:nvSpPr>
        <xdr:cNvPr id="38913" name="AutoShape 1">
          <a:extLst>
            <a:ext uri="{FF2B5EF4-FFF2-40B4-BE49-F238E27FC236}">
              <a16:creationId xmlns:a16="http://schemas.microsoft.com/office/drawing/2014/main" id="{00000000-0008-0000-0400-000001980000}"/>
            </a:ext>
          </a:extLst>
        </xdr:cNvPr>
        <xdr:cNvSpPr>
          <a:spLocks noChangeAspect="1" noChangeArrowheads="1"/>
        </xdr:cNvSpPr>
      </xdr:nvSpPr>
      <xdr:spPr bwMode="auto">
        <a:xfrm>
          <a:off x="1690255" y="1364673"/>
          <a:ext cx="1149927" cy="498764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Profit</a:t>
          </a:r>
        </a:p>
      </xdr:txBody>
    </xdr:sp>
    <xdr:clientData/>
  </xdr:twoCellAnchor>
  <xdr:twoCellAnchor>
    <xdr:from>
      <xdr:col>8</xdr:col>
      <xdr:colOff>0</xdr:colOff>
      <xdr:row>7</xdr:row>
      <xdr:rowOff>166254</xdr:rowOff>
    </xdr:from>
    <xdr:to>
      <xdr:col>10</xdr:col>
      <xdr:colOff>0</xdr:colOff>
      <xdr:row>11</xdr:row>
      <xdr:rowOff>0</xdr:rowOff>
    </xdr:to>
    <xdr:sp macro="" textlink="">
      <xdr:nvSpPr>
        <xdr:cNvPr id="38915" name="AutoShape 3">
          <a:extLst>
            <a:ext uri="{FF2B5EF4-FFF2-40B4-BE49-F238E27FC236}">
              <a16:creationId xmlns:a16="http://schemas.microsoft.com/office/drawing/2014/main" id="{00000000-0008-0000-0400-000003980000}"/>
            </a:ext>
          </a:extLst>
        </xdr:cNvPr>
        <xdr:cNvSpPr>
          <a:spLocks noChangeAspect="1" noChangeArrowheads="1"/>
        </xdr:cNvSpPr>
      </xdr:nvSpPr>
      <xdr:spPr bwMode="auto">
        <a:xfrm>
          <a:off x="3297382" y="1364672"/>
          <a:ext cx="1149927" cy="498764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Total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Cost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38916" name="AutoShape 4">
          <a:extLst>
            <a:ext uri="{FF2B5EF4-FFF2-40B4-BE49-F238E27FC236}">
              <a16:creationId xmlns:a16="http://schemas.microsoft.com/office/drawing/2014/main" id="{00000000-0008-0000-0400-000004980000}"/>
            </a:ext>
          </a:extLst>
        </xdr:cNvPr>
        <xdr:cNvSpPr>
          <a:spLocks noChangeAspect="1" noChangeArrowheads="1"/>
        </xdr:cNvSpPr>
      </xdr:nvSpPr>
      <xdr:spPr bwMode="auto">
        <a:xfrm>
          <a:off x="221673" y="533400"/>
          <a:ext cx="1149927" cy="498764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Printer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Demand</a:t>
          </a:r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574963</xdr:colOff>
      <xdr:row>6</xdr:row>
      <xdr:rowOff>0</xdr:rowOff>
    </xdr:to>
    <xdr:sp macro="" textlink="">
      <xdr:nvSpPr>
        <xdr:cNvPr id="38918" name="AutoShape 6">
          <a:extLst>
            <a:ext uri="{FF2B5EF4-FFF2-40B4-BE49-F238E27FC236}">
              <a16:creationId xmlns:a16="http://schemas.microsoft.com/office/drawing/2014/main" id="{00000000-0008-0000-0400-000006980000}"/>
            </a:ext>
          </a:extLst>
        </xdr:cNvPr>
        <xdr:cNvSpPr>
          <a:spLocks noChangeAspect="1" noChangeArrowheads="1"/>
        </xdr:cNvSpPr>
      </xdr:nvSpPr>
      <xdr:spPr bwMode="auto">
        <a:xfrm>
          <a:off x="3297382" y="533400"/>
          <a:ext cx="1149926" cy="498764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Printer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Unit Cost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8919" name="AutoShape 7">
          <a:extLst>
            <a:ext uri="{FF2B5EF4-FFF2-40B4-BE49-F238E27FC236}">
              <a16:creationId xmlns:a16="http://schemas.microsoft.com/office/drawing/2014/main" id="{00000000-0008-0000-0400-000007980000}"/>
            </a:ext>
          </a:extLst>
        </xdr:cNvPr>
        <xdr:cNvSpPr>
          <a:spLocks noChangeAspect="1" noChangeArrowheads="1"/>
        </xdr:cNvSpPr>
      </xdr:nvSpPr>
      <xdr:spPr bwMode="auto">
        <a:xfrm>
          <a:off x="1690255" y="533400"/>
          <a:ext cx="1149927" cy="498764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Printer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Price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4</xdr:col>
      <xdr:colOff>0</xdr:colOff>
      <xdr:row>11</xdr:row>
      <xdr:rowOff>1</xdr:rowOff>
    </xdr:to>
    <xdr:sp macro="" textlink="">
      <xdr:nvSpPr>
        <xdr:cNvPr id="38929" name="AutoShape 17">
          <a:extLst>
            <a:ext uri="{FF2B5EF4-FFF2-40B4-BE49-F238E27FC236}">
              <a16:creationId xmlns:a16="http://schemas.microsoft.com/office/drawing/2014/main" id="{00000000-0008-0000-0400-000011980000}"/>
            </a:ext>
          </a:extLst>
        </xdr:cNvPr>
        <xdr:cNvSpPr>
          <a:spLocks noChangeAspect="1" noChangeArrowheads="1"/>
        </xdr:cNvSpPr>
      </xdr:nvSpPr>
      <xdr:spPr bwMode="auto">
        <a:xfrm>
          <a:off x="221673" y="1364673"/>
          <a:ext cx="1149927" cy="498764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Total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Revenue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13</xdr:row>
      <xdr:rowOff>0</xdr:rowOff>
    </xdr:from>
    <xdr:to>
      <xdr:col>19</xdr:col>
      <xdr:colOff>0</xdr:colOff>
      <xdr:row>15</xdr:row>
      <xdr:rowOff>166253</xdr:rowOff>
    </xdr:to>
    <xdr:sp macro="" textlink="">
      <xdr:nvSpPr>
        <xdr:cNvPr id="9217" name="AutoShape 1">
          <a:extLst>
            <a:ext uri="{FF2B5EF4-FFF2-40B4-BE49-F238E27FC236}">
              <a16:creationId xmlns:a16="http://schemas.microsoft.com/office/drawing/2014/main" id="{00000000-0008-0000-0500-000001240000}"/>
            </a:ext>
          </a:extLst>
        </xdr:cNvPr>
        <xdr:cNvSpPr>
          <a:spLocks noChangeAspect="1" noChangeArrowheads="1"/>
        </xdr:cNvSpPr>
      </xdr:nvSpPr>
      <xdr:spPr bwMode="auto">
        <a:xfrm>
          <a:off x="7703127" y="2195945"/>
          <a:ext cx="1149928" cy="498763"/>
        </a:xfrm>
        <a:prstGeom prst="roundRect">
          <a:avLst>
            <a:gd name="adj" fmla="val 16667"/>
          </a:avLst>
        </a:pr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Profit</a:t>
          </a:r>
        </a:p>
      </xdr:txBody>
    </xdr:sp>
    <xdr:clientData/>
  </xdr:twoCellAnchor>
  <xdr:twoCellAnchor>
    <xdr:from>
      <xdr:col>11</xdr:col>
      <xdr:colOff>0</xdr:colOff>
      <xdr:row>3</xdr:row>
      <xdr:rowOff>1</xdr:rowOff>
    </xdr:from>
    <xdr:to>
      <xdr:col>13</xdr:col>
      <xdr:colOff>0</xdr:colOff>
      <xdr:row>6</xdr:row>
      <xdr:rowOff>0</xdr:rowOff>
    </xdr:to>
    <xdr:sp macro="" textlink="">
      <xdr:nvSpPr>
        <xdr:cNvPr id="9218" name="AutoShape 2">
          <a:extLst>
            <a:ext uri="{FF2B5EF4-FFF2-40B4-BE49-F238E27FC236}">
              <a16:creationId xmlns:a16="http://schemas.microsoft.com/office/drawing/2014/main" id="{00000000-0008-0000-0500-000002240000}"/>
            </a:ext>
          </a:extLst>
        </xdr:cNvPr>
        <xdr:cNvSpPr>
          <a:spLocks noChangeAspect="1" noChangeArrowheads="1"/>
        </xdr:cNvSpPr>
      </xdr:nvSpPr>
      <xdr:spPr bwMode="auto">
        <a:xfrm>
          <a:off x="4765964" y="533401"/>
          <a:ext cx="1149927" cy="498763"/>
        </a:xfrm>
        <a:prstGeom prst="roundRect">
          <a:avLst>
            <a:gd name="adj" fmla="val 16667"/>
          </a:avLst>
        </a:prstGeom>
        <a:solidFill>
          <a:srgbClr val="FFFFCC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Printer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Revenue</a:t>
          </a:r>
        </a:p>
      </xdr:txBody>
    </xdr:sp>
    <xdr:clientData/>
  </xdr:twoCellAnchor>
  <xdr:twoCellAnchor>
    <xdr:from>
      <xdr:col>14</xdr:col>
      <xdr:colOff>0</xdr:colOff>
      <xdr:row>18</xdr:row>
      <xdr:rowOff>166254</xdr:rowOff>
    </xdr:from>
    <xdr:to>
      <xdr:col>16</xdr:col>
      <xdr:colOff>0</xdr:colOff>
      <xdr:row>22</xdr:row>
      <xdr:rowOff>0</xdr:rowOff>
    </xdr:to>
    <xdr:sp macro="" textlink="">
      <xdr:nvSpPr>
        <xdr:cNvPr id="9219" name="AutoShape 3">
          <a:extLst>
            <a:ext uri="{FF2B5EF4-FFF2-40B4-BE49-F238E27FC236}">
              <a16:creationId xmlns:a16="http://schemas.microsoft.com/office/drawing/2014/main" id="{00000000-0008-0000-0500-000003240000}"/>
            </a:ext>
          </a:extLst>
        </xdr:cNvPr>
        <xdr:cNvSpPr>
          <a:spLocks noChangeAspect="1" noChangeArrowheads="1"/>
        </xdr:cNvSpPr>
      </xdr:nvSpPr>
      <xdr:spPr bwMode="auto">
        <a:xfrm>
          <a:off x="6234545" y="3193472"/>
          <a:ext cx="1149928" cy="498764"/>
        </a:xfrm>
        <a:prstGeom prst="roundRect">
          <a:avLst>
            <a:gd name="adj" fmla="val 16667"/>
          </a:avLst>
        </a:prstGeom>
        <a:solidFill>
          <a:srgbClr val="FFFF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Total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Cost</a:t>
          </a:r>
        </a:p>
      </xdr:txBody>
    </xdr:sp>
    <xdr:clientData/>
  </xdr:twoCellAnchor>
  <xdr:twoCellAnchor>
    <xdr:from>
      <xdr:col>5</xdr:col>
      <xdr:colOff>0</xdr:colOff>
      <xdr:row>7</xdr:row>
      <xdr:rowOff>1</xdr:rowOff>
    </xdr:from>
    <xdr:to>
      <xdr:col>7</xdr:col>
      <xdr:colOff>0</xdr:colOff>
      <xdr:row>10</xdr:row>
      <xdr:rowOff>0</xdr:rowOff>
    </xdr:to>
    <xdr:sp macro="" textlink="">
      <xdr:nvSpPr>
        <xdr:cNvPr id="9223" name="AutoShape 7">
          <a:extLst>
            <a:ext uri="{FF2B5EF4-FFF2-40B4-BE49-F238E27FC236}">
              <a16:creationId xmlns:a16="http://schemas.microsoft.com/office/drawing/2014/main" id="{00000000-0008-0000-0500-000007240000}"/>
            </a:ext>
          </a:extLst>
        </xdr:cNvPr>
        <xdr:cNvSpPr>
          <a:spLocks noChangeAspect="1" noChangeArrowheads="1"/>
        </xdr:cNvSpPr>
      </xdr:nvSpPr>
      <xdr:spPr bwMode="auto">
        <a:xfrm>
          <a:off x="1690255" y="1198419"/>
          <a:ext cx="1149927" cy="498763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Printer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Demand</a:t>
          </a:r>
        </a:p>
      </xdr:txBody>
    </xdr:sp>
    <xdr:clientData/>
  </xdr:twoCellAnchor>
  <xdr:twoCellAnchor>
    <xdr:from>
      <xdr:col>2</xdr:col>
      <xdr:colOff>0</xdr:colOff>
      <xdr:row>18</xdr:row>
      <xdr:rowOff>166254</xdr:rowOff>
    </xdr:from>
    <xdr:to>
      <xdr:col>4</xdr:col>
      <xdr:colOff>0</xdr:colOff>
      <xdr:row>22</xdr:row>
      <xdr:rowOff>0</xdr:rowOff>
    </xdr:to>
    <xdr:sp macro="" textlink="">
      <xdr:nvSpPr>
        <xdr:cNvPr id="9226" name="AutoShape 10">
          <a:extLst>
            <a:ext uri="{FF2B5EF4-FFF2-40B4-BE49-F238E27FC236}">
              <a16:creationId xmlns:a16="http://schemas.microsoft.com/office/drawing/2014/main" id="{00000000-0008-0000-0500-00000A240000}"/>
            </a:ext>
          </a:extLst>
        </xdr:cNvPr>
        <xdr:cNvSpPr>
          <a:spLocks noChangeAspect="1" noChangeArrowheads="1"/>
        </xdr:cNvSpPr>
      </xdr:nvSpPr>
      <xdr:spPr bwMode="auto">
        <a:xfrm>
          <a:off x="221673" y="3193472"/>
          <a:ext cx="1149927" cy="498764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993366"/>
              </a:solidFill>
              <a:latin typeface="Arial"/>
              <a:cs typeface="Arial"/>
            </a:rPr>
            <a:t>Cartridge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993366"/>
              </a:solidFill>
              <a:latin typeface="Arial"/>
              <a:cs typeface="Arial"/>
            </a:rPr>
            <a:t>Unit Cost</a:t>
          </a:r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4</xdr:col>
      <xdr:colOff>0</xdr:colOff>
      <xdr:row>18</xdr:row>
      <xdr:rowOff>1</xdr:rowOff>
    </xdr:to>
    <xdr:sp macro="" textlink="">
      <xdr:nvSpPr>
        <xdr:cNvPr id="9227" name="AutoShape 11">
          <a:extLst>
            <a:ext uri="{FF2B5EF4-FFF2-40B4-BE49-F238E27FC236}">
              <a16:creationId xmlns:a16="http://schemas.microsoft.com/office/drawing/2014/main" id="{00000000-0008-0000-0500-00000B240000}"/>
            </a:ext>
          </a:extLst>
        </xdr:cNvPr>
        <xdr:cNvSpPr>
          <a:spLocks noChangeAspect="1" noChangeArrowheads="1"/>
        </xdr:cNvSpPr>
      </xdr:nvSpPr>
      <xdr:spPr bwMode="auto">
        <a:xfrm>
          <a:off x="221673" y="2528455"/>
          <a:ext cx="1149927" cy="498764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993366"/>
              </a:solidFill>
              <a:latin typeface="Arial"/>
              <a:cs typeface="Arial"/>
            </a:rPr>
            <a:t>Printer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993366"/>
              </a:solidFill>
              <a:latin typeface="Arial"/>
              <a:cs typeface="Arial"/>
            </a:rPr>
            <a:t>Unit Cost</a:t>
          </a:r>
        </a:p>
      </xdr:txBody>
    </xdr:sp>
    <xdr:clientData/>
  </xdr:twoCellAnchor>
  <xdr:twoCellAnchor>
    <xdr:from>
      <xdr:col>2</xdr:col>
      <xdr:colOff>0</xdr:colOff>
      <xdr:row>3</xdr:row>
      <xdr:rowOff>1</xdr:rowOff>
    </xdr:from>
    <xdr:to>
      <xdr:col>4</xdr:col>
      <xdr:colOff>0</xdr:colOff>
      <xdr:row>6</xdr:row>
      <xdr:rowOff>0</xdr:rowOff>
    </xdr:to>
    <xdr:sp macro="" textlink="">
      <xdr:nvSpPr>
        <xdr:cNvPr id="9228" name="AutoShape 12">
          <a:extLst>
            <a:ext uri="{FF2B5EF4-FFF2-40B4-BE49-F238E27FC236}">
              <a16:creationId xmlns:a16="http://schemas.microsoft.com/office/drawing/2014/main" id="{00000000-0008-0000-0500-00000C240000}"/>
            </a:ext>
          </a:extLst>
        </xdr:cNvPr>
        <xdr:cNvSpPr>
          <a:spLocks noChangeAspect="1" noChangeArrowheads="1"/>
        </xdr:cNvSpPr>
      </xdr:nvSpPr>
      <xdr:spPr bwMode="auto">
        <a:xfrm>
          <a:off x="221673" y="533401"/>
          <a:ext cx="1149927" cy="498763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FF"/>
              </a:solidFill>
              <a:latin typeface="Arial"/>
              <a:cs typeface="Arial"/>
            </a:rPr>
            <a:t>Printer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FF"/>
              </a:solidFill>
              <a:latin typeface="Arial"/>
              <a:cs typeface="Arial"/>
            </a:rPr>
            <a:t>Price</a:t>
          </a:r>
        </a:p>
      </xdr:txBody>
    </xdr:sp>
    <xdr:clientData/>
  </xdr:twoCellAnchor>
  <xdr:twoCellAnchor>
    <xdr:from>
      <xdr:col>4</xdr:col>
      <xdr:colOff>0</xdr:colOff>
      <xdr:row>4</xdr:row>
      <xdr:rowOff>83128</xdr:rowOff>
    </xdr:from>
    <xdr:to>
      <xdr:col>5</xdr:col>
      <xdr:colOff>0</xdr:colOff>
      <xdr:row>8</xdr:row>
      <xdr:rowOff>83128</xdr:rowOff>
    </xdr:to>
    <xdr:cxnSp macro="">
      <xdr:nvCxnSpPr>
        <xdr:cNvPr id="9229" name="AutoShape 13">
          <a:extLst>
            <a:ext uri="{FF2B5EF4-FFF2-40B4-BE49-F238E27FC236}">
              <a16:creationId xmlns:a16="http://schemas.microsoft.com/office/drawing/2014/main" id="{00000000-0008-0000-0500-00000D240000}"/>
            </a:ext>
          </a:extLst>
        </xdr:cNvPr>
        <xdr:cNvCxnSpPr>
          <a:cxnSpLocks noChangeShapeType="1"/>
          <a:stCxn id="9228" idx="3"/>
          <a:endCxn id="9223" idx="1"/>
        </xdr:cNvCxnSpPr>
      </xdr:nvCxnSpPr>
      <xdr:spPr bwMode="auto">
        <a:xfrm>
          <a:off x="1371600" y="782783"/>
          <a:ext cx="318655" cy="66501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  <xdr:twoCellAnchor>
    <xdr:from>
      <xdr:col>4</xdr:col>
      <xdr:colOff>0</xdr:colOff>
      <xdr:row>4</xdr:row>
      <xdr:rowOff>83128</xdr:rowOff>
    </xdr:from>
    <xdr:to>
      <xdr:col>11</xdr:col>
      <xdr:colOff>0</xdr:colOff>
      <xdr:row>4</xdr:row>
      <xdr:rowOff>84716</xdr:rowOff>
    </xdr:to>
    <xdr:cxnSp macro="">
      <xdr:nvCxnSpPr>
        <xdr:cNvPr id="9230" name="AutoShape 14">
          <a:extLst>
            <a:ext uri="{FF2B5EF4-FFF2-40B4-BE49-F238E27FC236}">
              <a16:creationId xmlns:a16="http://schemas.microsoft.com/office/drawing/2014/main" id="{00000000-0008-0000-0500-00000E240000}"/>
            </a:ext>
          </a:extLst>
        </xdr:cNvPr>
        <xdr:cNvCxnSpPr>
          <a:cxnSpLocks noChangeShapeType="1"/>
          <a:stCxn id="9228" idx="3"/>
          <a:endCxn id="9218" idx="1"/>
        </xdr:cNvCxnSpPr>
      </xdr:nvCxnSpPr>
      <xdr:spPr bwMode="auto">
        <a:xfrm>
          <a:off x="1371600" y="782783"/>
          <a:ext cx="3394364" cy="158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8</xdr:row>
      <xdr:rowOff>83128</xdr:rowOff>
    </xdr:from>
    <xdr:to>
      <xdr:col>8</xdr:col>
      <xdr:colOff>0</xdr:colOff>
      <xdr:row>8</xdr:row>
      <xdr:rowOff>84716</xdr:rowOff>
    </xdr:to>
    <xdr:cxnSp macro="">
      <xdr:nvCxnSpPr>
        <xdr:cNvPr id="9231" name="AutoShape 15">
          <a:extLst>
            <a:ext uri="{FF2B5EF4-FFF2-40B4-BE49-F238E27FC236}">
              <a16:creationId xmlns:a16="http://schemas.microsoft.com/office/drawing/2014/main" id="{00000000-0008-0000-0500-00000F240000}"/>
            </a:ext>
          </a:extLst>
        </xdr:cNvPr>
        <xdr:cNvCxnSpPr>
          <a:cxnSpLocks noChangeShapeType="1"/>
          <a:stCxn id="9223" idx="3"/>
          <a:endCxn id="9220" idx="1"/>
        </xdr:cNvCxnSpPr>
      </xdr:nvCxnSpPr>
      <xdr:spPr bwMode="auto">
        <a:xfrm>
          <a:off x="2840182" y="1447801"/>
          <a:ext cx="457200" cy="158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4</xdr:row>
      <xdr:rowOff>83128</xdr:rowOff>
    </xdr:from>
    <xdr:to>
      <xdr:col>11</xdr:col>
      <xdr:colOff>0</xdr:colOff>
      <xdr:row>8</xdr:row>
      <xdr:rowOff>83128</xdr:rowOff>
    </xdr:to>
    <xdr:cxnSp macro="">
      <xdr:nvCxnSpPr>
        <xdr:cNvPr id="9232" name="AutoShape 16">
          <a:extLst>
            <a:ext uri="{FF2B5EF4-FFF2-40B4-BE49-F238E27FC236}">
              <a16:creationId xmlns:a16="http://schemas.microsoft.com/office/drawing/2014/main" id="{00000000-0008-0000-0500-000010240000}"/>
            </a:ext>
          </a:extLst>
        </xdr:cNvPr>
        <xdr:cNvCxnSpPr>
          <a:cxnSpLocks noChangeShapeType="1"/>
          <a:stCxn id="9223" idx="3"/>
          <a:endCxn id="9218" idx="1"/>
        </xdr:cNvCxnSpPr>
      </xdr:nvCxnSpPr>
      <xdr:spPr bwMode="auto">
        <a:xfrm flipV="1">
          <a:off x="2840182" y="782783"/>
          <a:ext cx="1925782" cy="66501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  <xdr:twoCellAnchor>
    <xdr:from>
      <xdr:col>4</xdr:col>
      <xdr:colOff>0</xdr:colOff>
      <xdr:row>12</xdr:row>
      <xdr:rowOff>83127</xdr:rowOff>
    </xdr:from>
    <xdr:to>
      <xdr:col>11</xdr:col>
      <xdr:colOff>0</xdr:colOff>
      <xdr:row>12</xdr:row>
      <xdr:rowOff>84715</xdr:rowOff>
    </xdr:to>
    <xdr:cxnSp macro="">
      <xdr:nvCxnSpPr>
        <xdr:cNvPr id="9234" name="AutoShape 18">
          <a:extLst>
            <a:ext uri="{FF2B5EF4-FFF2-40B4-BE49-F238E27FC236}">
              <a16:creationId xmlns:a16="http://schemas.microsoft.com/office/drawing/2014/main" id="{00000000-0008-0000-0500-000012240000}"/>
            </a:ext>
          </a:extLst>
        </xdr:cNvPr>
        <xdr:cNvCxnSpPr>
          <a:cxnSpLocks noChangeShapeType="1"/>
          <a:stCxn id="9244" idx="3"/>
          <a:endCxn id="9243" idx="1"/>
        </xdr:cNvCxnSpPr>
      </xdr:nvCxnSpPr>
      <xdr:spPr bwMode="auto">
        <a:xfrm>
          <a:off x="1371600" y="2112818"/>
          <a:ext cx="3394364" cy="158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  <xdr:twoCellAnchor>
    <xdr:from>
      <xdr:col>10</xdr:col>
      <xdr:colOff>0</xdr:colOff>
      <xdr:row>8</xdr:row>
      <xdr:rowOff>83128</xdr:rowOff>
    </xdr:from>
    <xdr:to>
      <xdr:col>11</xdr:col>
      <xdr:colOff>0</xdr:colOff>
      <xdr:row>12</xdr:row>
      <xdr:rowOff>83127</xdr:rowOff>
    </xdr:to>
    <xdr:cxnSp macro="">
      <xdr:nvCxnSpPr>
        <xdr:cNvPr id="9238" name="AutoShape 22">
          <a:extLst>
            <a:ext uri="{FF2B5EF4-FFF2-40B4-BE49-F238E27FC236}">
              <a16:creationId xmlns:a16="http://schemas.microsoft.com/office/drawing/2014/main" id="{00000000-0008-0000-0500-000016240000}"/>
            </a:ext>
          </a:extLst>
        </xdr:cNvPr>
        <xdr:cNvCxnSpPr>
          <a:cxnSpLocks noChangeShapeType="1"/>
          <a:stCxn id="9220" idx="3"/>
          <a:endCxn id="9243" idx="1"/>
        </xdr:cNvCxnSpPr>
      </xdr:nvCxnSpPr>
      <xdr:spPr bwMode="auto">
        <a:xfrm>
          <a:off x="4447309" y="1447801"/>
          <a:ext cx="318655" cy="665017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  <xdr:twoCellAnchor>
    <xdr:from>
      <xdr:col>13</xdr:col>
      <xdr:colOff>0</xdr:colOff>
      <xdr:row>4</xdr:row>
      <xdr:rowOff>83128</xdr:rowOff>
    </xdr:from>
    <xdr:to>
      <xdr:col>14</xdr:col>
      <xdr:colOff>0</xdr:colOff>
      <xdr:row>8</xdr:row>
      <xdr:rowOff>83128</xdr:rowOff>
    </xdr:to>
    <xdr:cxnSp macro="">
      <xdr:nvCxnSpPr>
        <xdr:cNvPr id="9239" name="AutoShape 23">
          <a:extLst>
            <a:ext uri="{FF2B5EF4-FFF2-40B4-BE49-F238E27FC236}">
              <a16:creationId xmlns:a16="http://schemas.microsoft.com/office/drawing/2014/main" id="{00000000-0008-0000-0500-000017240000}"/>
            </a:ext>
          </a:extLst>
        </xdr:cNvPr>
        <xdr:cNvCxnSpPr>
          <a:cxnSpLocks noChangeShapeType="1"/>
          <a:stCxn id="9218" idx="3"/>
          <a:endCxn id="9245" idx="1"/>
        </xdr:cNvCxnSpPr>
      </xdr:nvCxnSpPr>
      <xdr:spPr bwMode="auto">
        <a:xfrm>
          <a:off x="5915891" y="782783"/>
          <a:ext cx="318654" cy="66501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  <xdr:twoCellAnchor>
    <xdr:from>
      <xdr:col>16</xdr:col>
      <xdr:colOff>0</xdr:colOff>
      <xdr:row>14</xdr:row>
      <xdr:rowOff>83127</xdr:rowOff>
    </xdr:from>
    <xdr:to>
      <xdr:col>17</xdr:col>
      <xdr:colOff>0</xdr:colOff>
      <xdr:row>20</xdr:row>
      <xdr:rowOff>83127</xdr:rowOff>
    </xdr:to>
    <xdr:cxnSp macro="">
      <xdr:nvCxnSpPr>
        <xdr:cNvPr id="9240" name="AutoShape 24">
          <a:extLst>
            <a:ext uri="{FF2B5EF4-FFF2-40B4-BE49-F238E27FC236}">
              <a16:creationId xmlns:a16="http://schemas.microsoft.com/office/drawing/2014/main" id="{00000000-0008-0000-0500-000018240000}"/>
            </a:ext>
          </a:extLst>
        </xdr:cNvPr>
        <xdr:cNvCxnSpPr>
          <a:cxnSpLocks noChangeShapeType="1"/>
          <a:stCxn id="9219" idx="3"/>
          <a:endCxn id="9217" idx="1"/>
        </xdr:cNvCxnSpPr>
      </xdr:nvCxnSpPr>
      <xdr:spPr bwMode="auto">
        <a:xfrm flipV="1">
          <a:off x="7384473" y="2445327"/>
          <a:ext cx="318654" cy="997527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9244" name="AutoShape 28">
          <a:extLst>
            <a:ext uri="{FF2B5EF4-FFF2-40B4-BE49-F238E27FC236}">
              <a16:creationId xmlns:a16="http://schemas.microsoft.com/office/drawing/2014/main" id="{00000000-0008-0000-0500-00001C240000}"/>
            </a:ext>
          </a:extLst>
        </xdr:cNvPr>
        <xdr:cNvSpPr>
          <a:spLocks noChangeAspect="1" noChangeArrowheads="1"/>
        </xdr:cNvSpPr>
      </xdr:nvSpPr>
      <xdr:spPr bwMode="auto">
        <a:xfrm>
          <a:off x="221673" y="1863436"/>
          <a:ext cx="1149927" cy="498764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FF"/>
              </a:solidFill>
              <a:latin typeface="Arial"/>
              <a:cs typeface="Arial"/>
            </a:rPr>
            <a:t>Cartridge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FF"/>
              </a:solidFill>
              <a:latin typeface="Arial"/>
              <a:cs typeface="Arial"/>
            </a:rPr>
            <a:t>Price</a:t>
          </a:r>
        </a:p>
      </xdr:txBody>
    </xdr:sp>
    <xdr:clientData/>
  </xdr:twoCellAnchor>
  <xdr:twoCellAnchor>
    <xdr:from>
      <xdr:col>14</xdr:col>
      <xdr:colOff>0</xdr:colOff>
      <xdr:row>7</xdr:row>
      <xdr:rowOff>1</xdr:rowOff>
    </xdr:from>
    <xdr:to>
      <xdr:col>16</xdr:col>
      <xdr:colOff>0</xdr:colOff>
      <xdr:row>10</xdr:row>
      <xdr:rowOff>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500-00001D240000}"/>
            </a:ext>
          </a:extLst>
        </xdr:cNvPr>
        <xdr:cNvSpPr>
          <a:spLocks noChangeAspect="1" noChangeArrowheads="1"/>
        </xdr:cNvSpPr>
      </xdr:nvSpPr>
      <xdr:spPr bwMode="auto">
        <a:xfrm>
          <a:off x="6234545" y="1198419"/>
          <a:ext cx="1149928" cy="498763"/>
        </a:xfrm>
        <a:prstGeom prst="roundRect">
          <a:avLst>
            <a:gd name="adj" fmla="val 16667"/>
          </a:avLst>
        </a:prstGeom>
        <a:solidFill>
          <a:srgbClr val="FFFF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Total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Revenue</a:t>
          </a:r>
        </a:p>
      </xdr:txBody>
    </xdr:sp>
    <xdr:clientData/>
  </xdr:twoCellAnchor>
  <xdr:twoCellAnchor>
    <xdr:from>
      <xdr:col>13</xdr:col>
      <xdr:colOff>0</xdr:colOff>
      <xdr:row>8</xdr:row>
      <xdr:rowOff>83128</xdr:rowOff>
    </xdr:from>
    <xdr:to>
      <xdr:col>14</xdr:col>
      <xdr:colOff>0</xdr:colOff>
      <xdr:row>12</xdr:row>
      <xdr:rowOff>83127</xdr:rowOff>
    </xdr:to>
    <xdr:cxnSp macro="">
      <xdr:nvCxnSpPr>
        <xdr:cNvPr id="9246" name="AutoShape 30">
          <a:extLst>
            <a:ext uri="{FF2B5EF4-FFF2-40B4-BE49-F238E27FC236}">
              <a16:creationId xmlns:a16="http://schemas.microsoft.com/office/drawing/2014/main" id="{00000000-0008-0000-0500-00001E240000}"/>
            </a:ext>
          </a:extLst>
        </xdr:cNvPr>
        <xdr:cNvCxnSpPr>
          <a:cxnSpLocks noChangeShapeType="1"/>
          <a:stCxn id="9243" idx="3"/>
          <a:endCxn id="9245" idx="1"/>
        </xdr:cNvCxnSpPr>
      </xdr:nvCxnSpPr>
      <xdr:spPr bwMode="auto">
        <a:xfrm flipV="1">
          <a:off x="5915891" y="1447801"/>
          <a:ext cx="318654" cy="665017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  <xdr:twoCellAnchor>
    <xdr:from>
      <xdr:col>16</xdr:col>
      <xdr:colOff>0</xdr:colOff>
      <xdr:row>8</xdr:row>
      <xdr:rowOff>83128</xdr:rowOff>
    </xdr:from>
    <xdr:to>
      <xdr:col>17</xdr:col>
      <xdr:colOff>0</xdr:colOff>
      <xdr:row>14</xdr:row>
      <xdr:rowOff>83127</xdr:rowOff>
    </xdr:to>
    <xdr:cxnSp macro="">
      <xdr:nvCxnSpPr>
        <xdr:cNvPr id="9247" name="AutoShape 31">
          <a:extLst>
            <a:ext uri="{FF2B5EF4-FFF2-40B4-BE49-F238E27FC236}">
              <a16:creationId xmlns:a16="http://schemas.microsoft.com/office/drawing/2014/main" id="{00000000-0008-0000-0500-00001F240000}"/>
            </a:ext>
          </a:extLst>
        </xdr:cNvPr>
        <xdr:cNvCxnSpPr>
          <a:cxnSpLocks noChangeShapeType="1"/>
          <a:stCxn id="9245" idx="3"/>
          <a:endCxn id="9217" idx="1"/>
        </xdr:cNvCxnSpPr>
      </xdr:nvCxnSpPr>
      <xdr:spPr bwMode="auto">
        <a:xfrm>
          <a:off x="7384473" y="1447801"/>
          <a:ext cx="318654" cy="997526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  <xdr:twoCellAnchor>
    <xdr:from>
      <xdr:col>4</xdr:col>
      <xdr:colOff>0</xdr:colOff>
      <xdr:row>16</xdr:row>
      <xdr:rowOff>0</xdr:rowOff>
    </xdr:from>
    <xdr:to>
      <xdr:col>14</xdr:col>
      <xdr:colOff>0</xdr:colOff>
      <xdr:row>20</xdr:row>
      <xdr:rowOff>83127</xdr:rowOff>
    </xdr:to>
    <xdr:cxnSp macro="">
      <xdr:nvCxnSpPr>
        <xdr:cNvPr id="9249" name="AutoShape 33">
          <a:extLst>
            <a:ext uri="{FF2B5EF4-FFF2-40B4-BE49-F238E27FC236}">
              <a16:creationId xmlns:a16="http://schemas.microsoft.com/office/drawing/2014/main" id="{00000000-0008-0000-0500-000021240000}"/>
            </a:ext>
          </a:extLst>
        </xdr:cNvPr>
        <xdr:cNvCxnSpPr>
          <a:cxnSpLocks noChangeShapeType="1"/>
          <a:endCxn id="9219" idx="1"/>
        </xdr:cNvCxnSpPr>
      </xdr:nvCxnSpPr>
      <xdr:spPr bwMode="auto">
        <a:xfrm>
          <a:off x="1371600" y="2694709"/>
          <a:ext cx="4862945" cy="748145"/>
        </a:xfrm>
        <a:prstGeom prst="straightConnector1">
          <a:avLst/>
        </a:prstGeom>
        <a:noFill/>
        <a:ln w="9525">
          <a:solidFill>
            <a:srgbClr val="FFFFFF"/>
          </a:solidFill>
          <a:round/>
          <a:headEnd/>
          <a:tailEnd type="triangle" w="med" len="med"/>
        </a:ln>
        <a:effectLst/>
      </xdr:spPr>
    </xdr:cxnSp>
    <xdr:clientData/>
  </xdr:twoCellAnchor>
  <xdr:twoCellAnchor>
    <xdr:from>
      <xdr:col>4</xdr:col>
      <xdr:colOff>0</xdr:colOff>
      <xdr:row>16</xdr:row>
      <xdr:rowOff>83128</xdr:rowOff>
    </xdr:from>
    <xdr:to>
      <xdr:col>14</xdr:col>
      <xdr:colOff>0</xdr:colOff>
      <xdr:row>20</xdr:row>
      <xdr:rowOff>83127</xdr:rowOff>
    </xdr:to>
    <xdr:cxnSp macro="">
      <xdr:nvCxnSpPr>
        <xdr:cNvPr id="9236" name="AutoShape 20">
          <a:extLst>
            <a:ext uri="{FF2B5EF4-FFF2-40B4-BE49-F238E27FC236}">
              <a16:creationId xmlns:a16="http://schemas.microsoft.com/office/drawing/2014/main" id="{00000000-0008-0000-0500-000014240000}"/>
            </a:ext>
          </a:extLst>
        </xdr:cNvPr>
        <xdr:cNvCxnSpPr>
          <a:cxnSpLocks noChangeShapeType="1"/>
          <a:stCxn id="9227" idx="3"/>
          <a:endCxn id="9219" idx="1"/>
        </xdr:cNvCxnSpPr>
      </xdr:nvCxnSpPr>
      <xdr:spPr bwMode="auto">
        <a:xfrm>
          <a:off x="1371600" y="2777837"/>
          <a:ext cx="4862945" cy="665017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  <xdr:twoCellAnchor>
    <xdr:from>
      <xdr:col>4</xdr:col>
      <xdr:colOff>0</xdr:colOff>
      <xdr:row>20</xdr:row>
      <xdr:rowOff>83127</xdr:rowOff>
    </xdr:from>
    <xdr:to>
      <xdr:col>14</xdr:col>
      <xdr:colOff>0</xdr:colOff>
      <xdr:row>20</xdr:row>
      <xdr:rowOff>84715</xdr:rowOff>
    </xdr:to>
    <xdr:cxnSp macro="">
      <xdr:nvCxnSpPr>
        <xdr:cNvPr id="9237" name="AutoShape 21">
          <a:extLst>
            <a:ext uri="{FF2B5EF4-FFF2-40B4-BE49-F238E27FC236}">
              <a16:creationId xmlns:a16="http://schemas.microsoft.com/office/drawing/2014/main" id="{00000000-0008-0000-0500-000015240000}"/>
            </a:ext>
          </a:extLst>
        </xdr:cNvPr>
        <xdr:cNvCxnSpPr>
          <a:cxnSpLocks noChangeShapeType="1"/>
          <a:stCxn id="9226" idx="3"/>
          <a:endCxn id="9219" idx="1"/>
        </xdr:cNvCxnSpPr>
      </xdr:nvCxnSpPr>
      <xdr:spPr bwMode="auto">
        <a:xfrm>
          <a:off x="1371600" y="3442854"/>
          <a:ext cx="4862945" cy="158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  <xdr:twoCellAnchor>
    <xdr:from>
      <xdr:col>7</xdr:col>
      <xdr:colOff>0</xdr:colOff>
      <xdr:row>8</xdr:row>
      <xdr:rowOff>83128</xdr:rowOff>
    </xdr:from>
    <xdr:to>
      <xdr:col>14</xdr:col>
      <xdr:colOff>0</xdr:colOff>
      <xdr:row>20</xdr:row>
      <xdr:rowOff>83127</xdr:rowOff>
    </xdr:to>
    <xdr:cxnSp macro="">
      <xdr:nvCxnSpPr>
        <xdr:cNvPr id="9252" name="AutoShape 36">
          <a:extLst>
            <a:ext uri="{FF2B5EF4-FFF2-40B4-BE49-F238E27FC236}">
              <a16:creationId xmlns:a16="http://schemas.microsoft.com/office/drawing/2014/main" id="{00000000-0008-0000-0500-000024240000}"/>
            </a:ext>
          </a:extLst>
        </xdr:cNvPr>
        <xdr:cNvCxnSpPr>
          <a:cxnSpLocks noChangeShapeType="1"/>
          <a:stCxn id="9223" idx="3"/>
          <a:endCxn id="9219" idx="1"/>
        </xdr:cNvCxnSpPr>
      </xdr:nvCxnSpPr>
      <xdr:spPr bwMode="auto">
        <a:xfrm>
          <a:off x="2840182" y="1447801"/>
          <a:ext cx="3394363" cy="1995053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ffectLst/>
      </xdr:spPr>
    </xdr:cxnSp>
    <xdr:clientData/>
  </xdr:twoCellAnchor>
  <xdr:twoCellAnchor>
    <xdr:from>
      <xdr:col>10</xdr:col>
      <xdr:colOff>0</xdr:colOff>
      <xdr:row>8</xdr:row>
      <xdr:rowOff>83128</xdr:rowOff>
    </xdr:from>
    <xdr:to>
      <xdr:col>14</xdr:col>
      <xdr:colOff>0</xdr:colOff>
      <xdr:row>20</xdr:row>
      <xdr:rowOff>83127</xdr:rowOff>
    </xdr:to>
    <xdr:cxnSp macro="">
      <xdr:nvCxnSpPr>
        <xdr:cNvPr id="9253" name="AutoShape 37">
          <a:extLst>
            <a:ext uri="{FF2B5EF4-FFF2-40B4-BE49-F238E27FC236}">
              <a16:creationId xmlns:a16="http://schemas.microsoft.com/office/drawing/2014/main" id="{00000000-0008-0000-0500-000025240000}"/>
            </a:ext>
          </a:extLst>
        </xdr:cNvPr>
        <xdr:cNvCxnSpPr>
          <a:cxnSpLocks noChangeShapeType="1"/>
          <a:stCxn id="9220" idx="3"/>
          <a:endCxn id="9219" idx="1"/>
        </xdr:cNvCxnSpPr>
      </xdr:nvCxnSpPr>
      <xdr:spPr bwMode="auto">
        <a:xfrm>
          <a:off x="4447309" y="1447801"/>
          <a:ext cx="1787236" cy="1995053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  <xdr:twoCellAnchor>
    <xdr:from>
      <xdr:col>8</xdr:col>
      <xdr:colOff>0</xdr:colOff>
      <xdr:row>7</xdr:row>
      <xdr:rowOff>1</xdr:rowOff>
    </xdr:from>
    <xdr:to>
      <xdr:col>10</xdr:col>
      <xdr:colOff>0</xdr:colOff>
      <xdr:row>10</xdr:row>
      <xdr:rowOff>0</xdr:rowOff>
    </xdr:to>
    <xdr:sp macro="" textlink="">
      <xdr:nvSpPr>
        <xdr:cNvPr id="9220" name="AutoShape 4">
          <a:extLst>
            <a:ext uri="{FF2B5EF4-FFF2-40B4-BE49-F238E27FC236}">
              <a16:creationId xmlns:a16="http://schemas.microsoft.com/office/drawing/2014/main" id="{00000000-0008-0000-0500-000004240000}"/>
            </a:ext>
          </a:extLst>
        </xdr:cNvPr>
        <xdr:cNvSpPr>
          <a:spLocks noChangeAspect="1" noChangeArrowheads="1"/>
        </xdr:cNvSpPr>
      </xdr:nvSpPr>
      <xdr:spPr bwMode="auto">
        <a:xfrm>
          <a:off x="3297382" y="1198419"/>
          <a:ext cx="1149927" cy="498763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Cartridge 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Demand</a:t>
          </a:r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13</xdr:col>
      <xdr:colOff>0</xdr:colOff>
      <xdr:row>14</xdr:row>
      <xdr:rowOff>0</xdr:rowOff>
    </xdr:to>
    <xdr:sp macro="" textlink="">
      <xdr:nvSpPr>
        <xdr:cNvPr id="9243" name="AutoShape 27">
          <a:extLst>
            <a:ext uri="{FF2B5EF4-FFF2-40B4-BE49-F238E27FC236}">
              <a16:creationId xmlns:a16="http://schemas.microsoft.com/office/drawing/2014/main" id="{00000000-0008-0000-05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4765964" y="1863436"/>
          <a:ext cx="1149927" cy="498764"/>
        </a:xfrm>
        <a:prstGeom prst="roundRect">
          <a:avLst>
            <a:gd name="adj" fmla="val 16667"/>
          </a:avLst>
        </a:prstGeom>
        <a:solidFill>
          <a:srgbClr val="FFFFCC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Cartridge Revenue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83" name="AutoShape 11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221673" y="3858491"/>
          <a:ext cx="1149927" cy="498764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993366"/>
              </a:solidFill>
              <a:latin typeface="Arial"/>
              <a:cs typeface="Arial"/>
            </a:rPr>
            <a:t>Fixed Cost</a:t>
          </a:r>
        </a:p>
      </xdr:txBody>
    </xdr:sp>
    <xdr:clientData/>
  </xdr:twoCellAnchor>
  <xdr:twoCellAnchor>
    <xdr:from>
      <xdr:col>4</xdr:col>
      <xdr:colOff>0</xdr:colOff>
      <xdr:row>20</xdr:row>
      <xdr:rowOff>83127</xdr:rowOff>
    </xdr:from>
    <xdr:to>
      <xdr:col>14</xdr:col>
      <xdr:colOff>0</xdr:colOff>
      <xdr:row>24</xdr:row>
      <xdr:rowOff>83128</xdr:rowOff>
    </xdr:to>
    <xdr:cxnSp macro="">
      <xdr:nvCxnSpPr>
        <xdr:cNvPr id="184" name="AutoShape 20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CxnSpPr>
          <a:cxnSpLocks noChangeShapeType="1"/>
          <a:stCxn id="183" idx="3"/>
          <a:endCxn id="9219" idx="1"/>
        </xdr:cNvCxnSpPr>
      </xdr:nvCxnSpPr>
      <xdr:spPr bwMode="auto">
        <a:xfrm flipV="1">
          <a:off x="1371600" y="3442854"/>
          <a:ext cx="4862945" cy="665019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arrow" w="med" len="med"/>
        </a:ln>
        <a:effectLst/>
      </xdr:spPr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11</xdr:row>
      <xdr:rowOff>91440</xdr:rowOff>
    </xdr:from>
    <xdr:to>
      <xdr:col>10</xdr:col>
      <xdr:colOff>426720</xdr:colOff>
      <xdr:row>11</xdr:row>
      <xdr:rowOff>91440</xdr:rowOff>
    </xdr:to>
    <xdr:sp macro="" textlink="">
      <xdr:nvSpPr>
        <xdr:cNvPr id="10241" name="Line 1">
          <a:extLst>
            <a:ext uri="{FF2B5EF4-FFF2-40B4-BE49-F238E27FC236}">
              <a16:creationId xmlns:a16="http://schemas.microsoft.com/office/drawing/2014/main" id="{00000000-0008-0000-0600-000001280000}"/>
            </a:ext>
          </a:extLst>
        </xdr:cNvPr>
        <xdr:cNvSpPr>
          <a:spLocks noChangeShapeType="1"/>
        </xdr:cNvSpPr>
      </xdr:nvSpPr>
      <xdr:spPr bwMode="auto">
        <a:xfrm flipV="1">
          <a:off x="4617720" y="2156460"/>
          <a:ext cx="6324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ffectLst/>
      </xdr:spPr>
    </xdr:sp>
    <xdr:clientData/>
  </xdr:twoCellAnchor>
  <xdr:twoCellAnchor>
    <xdr:from>
      <xdr:col>9</xdr:col>
      <xdr:colOff>76200</xdr:colOff>
      <xdr:row>4</xdr:row>
      <xdr:rowOff>68580</xdr:rowOff>
    </xdr:from>
    <xdr:to>
      <xdr:col>10</xdr:col>
      <xdr:colOff>388620</xdr:colOff>
      <xdr:row>4</xdr:row>
      <xdr:rowOff>68580</xdr:rowOff>
    </xdr:to>
    <xdr:sp macro="" textlink="">
      <xdr:nvSpPr>
        <xdr:cNvPr id="10242" name="Line 2">
          <a:extLst>
            <a:ext uri="{FF2B5EF4-FFF2-40B4-BE49-F238E27FC236}">
              <a16:creationId xmlns:a16="http://schemas.microsoft.com/office/drawing/2014/main" id="{00000000-0008-0000-0600-000002280000}"/>
            </a:ext>
          </a:extLst>
        </xdr:cNvPr>
        <xdr:cNvSpPr>
          <a:spLocks noChangeShapeType="1"/>
        </xdr:cNvSpPr>
      </xdr:nvSpPr>
      <xdr:spPr bwMode="auto">
        <a:xfrm flipV="1">
          <a:off x="4579620" y="960120"/>
          <a:ext cx="6324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ffectLst/>
      </xdr:spPr>
    </xdr:sp>
    <xdr:clientData/>
  </xdr:twoCellAnchor>
  <xdr:twoCellAnchor>
    <xdr:from>
      <xdr:col>4</xdr:col>
      <xdr:colOff>60960</xdr:colOff>
      <xdr:row>11</xdr:row>
      <xdr:rowOff>99060</xdr:rowOff>
    </xdr:from>
    <xdr:to>
      <xdr:col>5</xdr:col>
      <xdr:colOff>373380</xdr:colOff>
      <xdr:row>11</xdr:row>
      <xdr:rowOff>99060</xdr:rowOff>
    </xdr:to>
    <xdr:sp macro="" textlink="">
      <xdr:nvSpPr>
        <xdr:cNvPr id="10243" name="Line 3">
          <a:extLst>
            <a:ext uri="{FF2B5EF4-FFF2-40B4-BE49-F238E27FC236}">
              <a16:creationId xmlns:a16="http://schemas.microsoft.com/office/drawing/2014/main" id="{00000000-0008-0000-0600-000003280000}"/>
            </a:ext>
          </a:extLst>
        </xdr:cNvPr>
        <xdr:cNvSpPr>
          <a:spLocks noChangeShapeType="1"/>
        </xdr:cNvSpPr>
      </xdr:nvSpPr>
      <xdr:spPr bwMode="auto">
        <a:xfrm flipV="1">
          <a:off x="1752600" y="2164080"/>
          <a:ext cx="62484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ffectLst/>
      </xdr:spPr>
    </xdr:sp>
    <xdr:clientData/>
  </xdr:twoCellAnchor>
  <xdr:twoCellAnchor>
    <xdr:from>
      <xdr:col>4</xdr:col>
      <xdr:colOff>30480</xdr:colOff>
      <xdr:row>4</xdr:row>
      <xdr:rowOff>76200</xdr:rowOff>
    </xdr:from>
    <xdr:to>
      <xdr:col>5</xdr:col>
      <xdr:colOff>342900</xdr:colOff>
      <xdr:row>4</xdr:row>
      <xdr:rowOff>76200</xdr:rowOff>
    </xdr:to>
    <xdr:sp macro="" textlink="">
      <xdr:nvSpPr>
        <xdr:cNvPr id="10244" name="Line 4">
          <a:extLst>
            <a:ext uri="{FF2B5EF4-FFF2-40B4-BE49-F238E27FC236}">
              <a16:creationId xmlns:a16="http://schemas.microsoft.com/office/drawing/2014/main" id="{00000000-0008-0000-0600-000004280000}"/>
            </a:ext>
          </a:extLst>
        </xdr:cNvPr>
        <xdr:cNvSpPr>
          <a:spLocks noChangeShapeType="1"/>
        </xdr:cNvSpPr>
      </xdr:nvSpPr>
      <xdr:spPr bwMode="auto">
        <a:xfrm flipV="1">
          <a:off x="1722120" y="967740"/>
          <a:ext cx="62484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ffectLst/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</xdr:colOff>
      <xdr:row>0</xdr:row>
      <xdr:rowOff>0</xdr:rowOff>
    </xdr:from>
    <xdr:to>
      <xdr:col>4</xdr:col>
      <xdr:colOff>942109</xdr:colOff>
      <xdr:row>1</xdr:row>
      <xdr:rowOff>30480</xdr:rowOff>
    </xdr:to>
    <xdr:sp macro="[0]!Sheet08.TogglePrecedenceArrows" textlink="">
      <xdr:nvSpPr>
        <xdr:cNvPr id="35861" name="Rectangle 21">
          <a:extLst>
            <a:ext uri="{FF2B5EF4-FFF2-40B4-BE49-F238E27FC236}">
              <a16:creationId xmlns:a16="http://schemas.microsoft.com/office/drawing/2014/main" id="{00000000-0008-0000-0700-0000158C0000}"/>
            </a:ext>
          </a:extLst>
        </xdr:cNvPr>
        <xdr:cNvSpPr>
          <a:spLocks noChangeArrowheads="1"/>
        </xdr:cNvSpPr>
      </xdr:nvSpPr>
      <xdr:spPr bwMode="auto">
        <a:xfrm>
          <a:off x="1581496" y="0"/>
          <a:ext cx="919249" cy="23137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7</xdr:row>
      <xdr:rowOff>0</xdr:rowOff>
    </xdr:from>
    <xdr:to>
      <xdr:col>12</xdr:col>
      <xdr:colOff>0</xdr:colOff>
      <xdr:row>22</xdr:row>
      <xdr:rowOff>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00000000-0008-0000-09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55418</xdr:colOff>
      <xdr:row>6</xdr:row>
      <xdr:rowOff>152399</xdr:rowOff>
    </xdr:from>
    <xdr:to>
      <xdr:col>12</xdr:col>
      <xdr:colOff>55418</xdr:colOff>
      <xdr:row>21</xdr:row>
      <xdr:rowOff>152399</xdr:rowOff>
    </xdr:to>
    <xdr:sp macro="" textlink="">
      <xdr:nvSpPr>
        <xdr:cNvPr id="3074" name="Rectangle 2" descr="5%">
          <a:extLst>
            <a:ext uri="{FF2B5EF4-FFF2-40B4-BE49-F238E27FC236}">
              <a16:creationId xmlns:a16="http://schemas.microsoft.com/office/drawing/2014/main" id="{00000000-0008-0000-0900-0000020C0000}"/>
            </a:ext>
          </a:extLst>
        </xdr:cNvPr>
        <xdr:cNvSpPr>
          <a:spLocks noChangeArrowheads="1"/>
        </xdr:cNvSpPr>
      </xdr:nvSpPr>
      <xdr:spPr bwMode="auto">
        <a:xfrm>
          <a:off x="2036618" y="1184563"/>
          <a:ext cx="4024745" cy="2999509"/>
        </a:xfrm>
        <a:prstGeom prst="rect">
          <a:avLst/>
        </a:prstGeom>
        <a:pattFill prst="pct5">
          <a:fgClr>
            <a:srgbClr val="000000"/>
          </a:fgClr>
          <a:bgClr>
            <a:srgbClr val="FFFFFF"/>
          </a:bgClr>
        </a:pattFill>
        <a:ln w="9525">
          <a:noFill/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15437" cy="60840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15437" cy="60840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0.901</cdr:x>
      <cdr:y>0.043</cdr:y>
    </cdr:from>
    <cdr:to>
      <cdr:x>0.9945</cdr:x>
      <cdr:y>0.13525</cdr:y>
    </cdr:to>
    <cdr:sp macro="" textlink="">
      <cdr:nvSpPr>
        <cdr:cNvPr id="2560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73072" y="240175"/>
          <a:ext cx="858526" cy="5152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Printer </a:t>
          </a:r>
        </a:p>
        <a:p xmlns:a="http://schemas.openxmlformats.org/drawingml/2006/main">
          <a:pPr algn="ctr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demand slope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pconline.com.sg/products/CategoryDisplay.asp?CatalogId=18&amp;CategoryId=109" TargetMode="External"/><Relationship Id="rId3" Type="http://schemas.openxmlformats.org/officeDocument/2006/relationships/hyperlink" Target="http://www.epson.co.id/products/printers/inkjet/EPSON_Stylus_C43SX.shtml" TargetMode="External"/><Relationship Id="rId7" Type="http://schemas.openxmlformats.org/officeDocument/2006/relationships/hyperlink" Target="http://www.pconline.com.sg/products/CategoryDisplay.asp?CatalogId=18&amp;CategoryId=108" TargetMode="Externa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hyperlink" Target="http://www.pconline.com.sg/products/CategoryDisplay.asp?CatalogId=18&amp;CategoryId=107" TargetMode="External"/><Relationship Id="rId5" Type="http://schemas.openxmlformats.org/officeDocument/2006/relationships/hyperlink" Target="http://www.amazon.co.uk/exec/obidos/ASIN/B000A3H4VA/electricalcom-21/202-6884881-9463813" TargetMode="External"/><Relationship Id="rId10" Type="http://schemas.openxmlformats.org/officeDocument/2006/relationships/printerSettings" Target="../printerSettings/printerSettings7.bin"/><Relationship Id="rId4" Type="http://schemas.openxmlformats.org/officeDocument/2006/relationships/hyperlink" Target="http://www.ciao.co.uk/HP_DeskJet_3744__6272903" TargetMode="External"/><Relationship Id="rId9" Type="http://schemas.openxmlformats.org/officeDocument/2006/relationships/hyperlink" Target="http://www.pconline.com.sg/products/CategoryDisplay.asp?CatalogId=18&amp;CategoryId=110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4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4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1">
    <tabColor indexed="31"/>
  </sheetPr>
  <dimension ref="A1:V52"/>
  <sheetViews>
    <sheetView showGridLines="0" showRowColHeaders="0" zoomScale="120" zoomScaleNormal="120" workbookViewId="0">
      <selection activeCell="M21" sqref="M21"/>
    </sheetView>
  </sheetViews>
  <sheetFormatPr defaultRowHeight="12.75"/>
  <cols>
    <col min="1" max="1" width="0.85546875" customWidth="1"/>
    <col min="2" max="10" width="9.5703125" customWidth="1"/>
    <col min="11" max="12" width="0.85546875" customWidth="1"/>
    <col min="13" max="21" width="9.5703125" customWidth="1"/>
    <col min="22" max="23" width="0.85546875" customWidth="1"/>
  </cols>
  <sheetData>
    <row r="1" spans="1:22" ht="15.75">
      <c r="B1" s="138" t="s">
        <v>44</v>
      </c>
      <c r="K1" s="19"/>
      <c r="L1" s="20"/>
      <c r="M1" s="137" t="s">
        <v>156</v>
      </c>
      <c r="N1" s="20"/>
      <c r="O1" s="20"/>
      <c r="P1" s="20"/>
      <c r="Q1" s="20"/>
      <c r="R1" s="20"/>
      <c r="S1" s="20"/>
      <c r="T1" s="20"/>
      <c r="U1" s="20"/>
      <c r="V1" s="20"/>
    </row>
    <row r="2" spans="1:22">
      <c r="A2" s="94"/>
      <c r="B2" s="139" t="s">
        <v>158</v>
      </c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</row>
    <row r="3" spans="1:22">
      <c r="B3" s="140" t="s">
        <v>161</v>
      </c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</row>
    <row r="4" spans="1:22" ht="12.75" customHeight="1">
      <c r="B4" s="140" t="s">
        <v>162</v>
      </c>
      <c r="L4" s="20"/>
      <c r="M4" s="99" t="b">
        <v>1</v>
      </c>
      <c r="N4" s="20"/>
      <c r="O4" s="20"/>
      <c r="P4" s="20"/>
      <c r="Q4" s="20"/>
      <c r="R4" s="20"/>
      <c r="S4" s="20"/>
      <c r="T4" s="20"/>
      <c r="U4" s="20"/>
      <c r="V4" s="20"/>
    </row>
    <row r="5" spans="1:22">
      <c r="B5" s="140" t="s">
        <v>163</v>
      </c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6" spans="1:22">
      <c r="B6" s="140" t="s">
        <v>164</v>
      </c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</row>
    <row r="7" spans="1:22" ht="12.75" customHeight="1">
      <c r="B7" s="140" t="s">
        <v>158</v>
      </c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</row>
    <row r="8" spans="1:22" ht="12.75" customHeight="1">
      <c r="B8" s="141" t="s">
        <v>165</v>
      </c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1:22">
      <c r="B9" s="140" t="s">
        <v>166</v>
      </c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</row>
    <row r="10" spans="1:22">
      <c r="B10" s="140" t="s">
        <v>167</v>
      </c>
      <c r="L10" s="20"/>
      <c r="M10" s="101"/>
      <c r="N10" s="20"/>
      <c r="O10" s="20"/>
      <c r="P10" s="20"/>
      <c r="Q10" s="20"/>
      <c r="R10" s="20"/>
      <c r="S10" s="20"/>
      <c r="T10" s="20"/>
      <c r="U10" s="20"/>
      <c r="V10" s="20"/>
    </row>
    <row r="11" spans="1:22">
      <c r="B11" s="14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</row>
    <row r="12" spans="1:22">
      <c r="B12" s="14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</row>
    <row r="13" spans="1:22">
      <c r="B13" s="141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</row>
    <row r="14" spans="1:22">
      <c r="B14" s="14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</row>
    <row r="15" spans="1:22">
      <c r="B15" s="14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</row>
    <row r="16" spans="1:22">
      <c r="B16" s="14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</row>
    <row r="17" spans="2:22">
      <c r="B17" s="14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</row>
    <row r="18" spans="2:22">
      <c r="B18" s="141"/>
      <c r="L18" s="20"/>
      <c r="M18" s="20"/>
      <c r="N18" s="143" t="s">
        <v>246</v>
      </c>
      <c r="O18" s="20"/>
      <c r="P18" s="20"/>
      <c r="Q18" s="20"/>
      <c r="R18" s="20"/>
      <c r="S18" s="20"/>
      <c r="T18" s="20"/>
      <c r="U18" s="20"/>
      <c r="V18" s="20"/>
    </row>
    <row r="19" spans="2:22">
      <c r="B19" s="141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</row>
    <row r="20" spans="2:22">
      <c r="B20" s="141"/>
      <c r="L20" s="20"/>
      <c r="M20" s="20"/>
      <c r="N20" s="143" t="s">
        <v>247</v>
      </c>
      <c r="O20" s="20"/>
      <c r="P20" s="20"/>
      <c r="Q20" s="20"/>
      <c r="R20" s="20"/>
      <c r="S20" s="20"/>
      <c r="T20" s="20"/>
      <c r="U20" s="20"/>
      <c r="V20" s="20"/>
    </row>
    <row r="21" spans="2:22">
      <c r="B21" s="141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</row>
    <row r="22" spans="2:22">
      <c r="B22" s="141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</row>
    <row r="23" spans="2:22">
      <c r="B23" s="139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</row>
    <row r="24" spans="2:22">
      <c r="B24" s="139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</row>
    <row r="25" spans="2:22">
      <c r="B25" s="139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</row>
    <row r="26" spans="2:22">
      <c r="B26" s="139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</row>
    <row r="27" spans="2:22">
      <c r="B27" s="139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</row>
    <row r="28" spans="2:22">
      <c r="B28" s="139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</row>
    <row r="29" spans="2:22">
      <c r="B29" s="141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</row>
    <row r="30" spans="2:22">
      <c r="B30" s="141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</row>
    <row r="31" spans="2:22">
      <c r="B31" s="141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</row>
    <row r="32" spans="2:22">
      <c r="B32" s="141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</row>
    <row r="33" spans="2:22">
      <c r="B33" s="141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</row>
    <row r="34" spans="2:22">
      <c r="B34" s="141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</row>
    <row r="35" spans="2:22">
      <c r="B35" s="141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</row>
    <row r="36" spans="2:22">
      <c r="B36" s="141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</row>
    <row r="37" spans="2:22">
      <c r="B37" s="141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</row>
    <row r="38" spans="2:22">
      <c r="B38" s="141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</row>
    <row r="39" spans="2:22">
      <c r="B39" s="141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</row>
    <row r="40" spans="2:22">
      <c r="B40" s="141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</row>
    <row r="41" spans="2:22">
      <c r="B41" s="141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</row>
    <row r="42" spans="2:22">
      <c r="B42" s="141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</row>
    <row r="43" spans="2:22">
      <c r="B43" s="141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</row>
    <row r="44" spans="2:22">
      <c r="B44" s="141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</row>
    <row r="45" spans="2:22">
      <c r="B45" s="141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</row>
    <row r="46" spans="2:22">
      <c r="B46" s="141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</row>
    <row r="47" spans="2:22">
      <c r="B47" s="141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</row>
    <row r="48" spans="2:22">
      <c r="B48" s="141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</row>
    <row r="49" spans="2:22">
      <c r="B49" s="141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</row>
    <row r="50" spans="2:22">
      <c r="B50" s="141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</row>
    <row r="51" spans="2:22">
      <c r="B51" s="142" t="s">
        <v>159</v>
      </c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</row>
    <row r="52" spans="2:22">
      <c r="B52" s="142" t="s">
        <v>160</v>
      </c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</row>
  </sheetData>
  <customSheetViews>
    <customSheetView guid="{18D261E6-8F6E-4DCF-A3D9-294C7EF5648B}" scale="125" showPageBreaks="1" showGridLines="0" showRowCol="0" printArea="1" showRuler="0">
      <pageMargins left="0.74803149606299213" right="0.74803149606299213" top="0.98425196850393704" bottom="0.98425196850393704" header="0.51181102362204722" footer="0.51181102362204722"/>
      <pageSetup paperSize="9" orientation="portrait" horizontalDpi="4294967293" r:id="rId1"/>
      <headerFooter alignWithMargins="0">
        <oddFooter>&amp;LLeongTY&amp;R&amp;F/&amp;A</oddFooter>
      </headerFooter>
    </customSheetView>
    <customSheetView guid="{41690409-2766-4911-B71D-0C470EB1EC9C}" scale="125" showPageBreaks="1" showGridLines="0" showRowCol="0" printArea="1" showRuler="0">
      <pageMargins left="0.74803149606299213" right="0.74803149606299213" top="0.98425196850393704" bottom="0.98425196850393704" header="0.51181102362204722" footer="0.51181102362204722"/>
      <pageSetup paperSize="9" orientation="portrait" horizontalDpi="4294967293" r:id="rId2"/>
      <headerFooter alignWithMargins="0">
        <oddFooter>&amp;LLeongTY&amp;R&amp;F/&amp;A</oddFooter>
      </headerFooter>
    </customSheetView>
  </customSheetViews>
  <phoneticPr fontId="8" type="noConversion"/>
  <pageMargins left="0.74803149606299213" right="0.74803149606299213" top="0.98425196850393704" bottom="0.98425196850393704" header="0.51181102362204722" footer="0.51181102362204722"/>
  <pageSetup paperSize="9" orientation="portrait" horizontalDpi="4294967293" r:id="rId3"/>
  <headerFooter alignWithMargins="0">
    <oddFooter>&amp;LLeongTY&amp;R&amp;F/&amp;A</oddFooter>
  </headerFooter>
  <colBreaks count="1" manualBreakCount="1">
    <brk id="22" max="1048575" man="1"/>
  </colBreak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2">
    <tabColor indexed="31"/>
  </sheetPr>
  <dimension ref="A1:U49"/>
  <sheetViews>
    <sheetView showGridLines="0" showRowColHeaders="0" zoomScale="110" zoomScaleNormal="110" workbookViewId="0"/>
  </sheetViews>
  <sheetFormatPr defaultColWidth="9.140625" defaultRowHeight="12.75"/>
  <cols>
    <col min="1" max="1" width="0.85546875" style="144" customWidth="1"/>
    <col min="2" max="10" width="9.5703125" style="144" customWidth="1"/>
    <col min="11" max="12" width="0.85546875" style="144" customWidth="1"/>
    <col min="13" max="21" width="9.5703125" style="144" customWidth="1"/>
    <col min="22" max="23" width="0.85546875" style="144" customWidth="1"/>
    <col min="24" max="16384" width="9.140625" style="144"/>
  </cols>
  <sheetData>
    <row r="1" spans="1:13" ht="15.75">
      <c r="B1" s="145" t="s">
        <v>93</v>
      </c>
      <c r="E1" s="141"/>
      <c r="J1" s="146" t="s">
        <v>168</v>
      </c>
    </row>
    <row r="2" spans="1:13">
      <c r="A2" s="147"/>
      <c r="B2" s="144" t="s">
        <v>169</v>
      </c>
    </row>
    <row r="3" spans="1:13">
      <c r="B3" s="148" t="s">
        <v>170</v>
      </c>
      <c r="M3" s="148" t="s">
        <v>171</v>
      </c>
    </row>
    <row r="4" spans="1:13">
      <c r="B4" s="141" t="s">
        <v>172</v>
      </c>
      <c r="M4" s="144" t="s">
        <v>173</v>
      </c>
    </row>
    <row r="5" spans="1:13">
      <c r="B5" s="141" t="s">
        <v>174</v>
      </c>
      <c r="M5" s="144" t="s">
        <v>175</v>
      </c>
    </row>
    <row r="6" spans="1:13">
      <c r="B6" s="141" t="s">
        <v>176</v>
      </c>
      <c r="M6" s="144" t="s">
        <v>177</v>
      </c>
    </row>
    <row r="7" spans="1:13">
      <c r="B7" s="141" t="s">
        <v>178</v>
      </c>
      <c r="M7" s="144" t="s">
        <v>157</v>
      </c>
    </row>
    <row r="8" spans="1:13">
      <c r="B8" s="141" t="s">
        <v>179</v>
      </c>
      <c r="M8" s="141" t="s">
        <v>180</v>
      </c>
    </row>
    <row r="9" spans="1:13">
      <c r="B9" s="141" t="s">
        <v>181</v>
      </c>
      <c r="M9" s="141" t="s">
        <v>182</v>
      </c>
    </row>
    <row r="10" spans="1:13">
      <c r="B10" s="141" t="s">
        <v>183</v>
      </c>
      <c r="M10" s="141" t="s">
        <v>184</v>
      </c>
    </row>
    <row r="11" spans="1:13">
      <c r="B11" s="144" t="s">
        <v>157</v>
      </c>
      <c r="M11" s="141" t="s">
        <v>185</v>
      </c>
    </row>
    <row r="12" spans="1:13">
      <c r="B12" s="141" t="s">
        <v>186</v>
      </c>
      <c r="M12" s="141" t="s">
        <v>187</v>
      </c>
    </row>
    <row r="13" spans="1:13">
      <c r="B13" s="141" t="s">
        <v>188</v>
      </c>
      <c r="M13" s="141" t="s">
        <v>189</v>
      </c>
    </row>
    <row r="14" spans="1:13">
      <c r="B14" s="144" t="s">
        <v>157</v>
      </c>
      <c r="M14" s="141" t="s">
        <v>190</v>
      </c>
    </row>
    <row r="15" spans="1:13">
      <c r="B15" s="141" t="s">
        <v>191</v>
      </c>
      <c r="M15" s="141" t="s">
        <v>192</v>
      </c>
    </row>
    <row r="16" spans="1:13">
      <c r="B16" s="141" t="s">
        <v>193</v>
      </c>
      <c r="M16" s="141" t="s">
        <v>194</v>
      </c>
    </row>
    <row r="17" spans="2:13">
      <c r="B17" s="144" t="s">
        <v>157</v>
      </c>
      <c r="M17" s="141" t="s">
        <v>195</v>
      </c>
    </row>
    <row r="18" spans="2:13">
      <c r="B18" s="141" t="s">
        <v>196</v>
      </c>
      <c r="M18" s="141" t="s">
        <v>197</v>
      </c>
    </row>
    <row r="19" spans="2:13">
      <c r="B19" s="141" t="s">
        <v>198</v>
      </c>
      <c r="M19" s="141" t="s">
        <v>199</v>
      </c>
    </row>
    <row r="20" spans="2:13">
      <c r="B20" s="141" t="s">
        <v>200</v>
      </c>
      <c r="M20" s="141" t="s">
        <v>201</v>
      </c>
    </row>
    <row r="21" spans="2:13">
      <c r="B21" s="141" t="s">
        <v>202</v>
      </c>
      <c r="M21" s="144" t="s">
        <v>157</v>
      </c>
    </row>
    <row r="22" spans="2:13">
      <c r="B22" s="141" t="s">
        <v>203</v>
      </c>
      <c r="M22" s="141" t="s">
        <v>204</v>
      </c>
    </row>
    <row r="23" spans="2:13">
      <c r="B23" s="141" t="s">
        <v>205</v>
      </c>
      <c r="M23" s="144" t="s">
        <v>206</v>
      </c>
    </row>
    <row r="24" spans="2:13">
      <c r="M24" s="141" t="s">
        <v>207</v>
      </c>
    </row>
    <row r="25" spans="2:13">
      <c r="M25" s="144" t="s">
        <v>208</v>
      </c>
    </row>
    <row r="26" spans="2:13">
      <c r="M26" s="144" t="s">
        <v>209</v>
      </c>
    </row>
    <row r="27" spans="2:13">
      <c r="M27" s="144" t="s">
        <v>210</v>
      </c>
    </row>
    <row r="28" spans="2:13">
      <c r="M28" s="141" t="s">
        <v>211</v>
      </c>
    </row>
    <row r="29" spans="2:13">
      <c r="M29" s="144" t="s">
        <v>212</v>
      </c>
    </row>
    <row r="30" spans="2:13">
      <c r="M30" s="144" t="s">
        <v>157</v>
      </c>
    </row>
    <row r="31" spans="2:13">
      <c r="M31" s="141" t="s">
        <v>213</v>
      </c>
    </row>
    <row r="32" spans="2:13">
      <c r="M32" s="141" t="s">
        <v>214</v>
      </c>
    </row>
    <row r="33" spans="13:21">
      <c r="M33" s="141" t="s">
        <v>215</v>
      </c>
    </row>
    <row r="34" spans="13:21">
      <c r="M34" s="141" t="s">
        <v>216</v>
      </c>
    </row>
    <row r="35" spans="13:21">
      <c r="M35" s="144" t="s">
        <v>157</v>
      </c>
    </row>
    <row r="36" spans="13:21">
      <c r="M36" s="141" t="s">
        <v>217</v>
      </c>
    </row>
    <row r="37" spans="13:21">
      <c r="M37" s="144" t="s">
        <v>218</v>
      </c>
    </row>
    <row r="38" spans="13:21">
      <c r="M38" s="141" t="s">
        <v>219</v>
      </c>
    </row>
    <row r="39" spans="13:21">
      <c r="M39" s="141" t="s">
        <v>220</v>
      </c>
    </row>
    <row r="40" spans="13:21">
      <c r="M40" s="141" t="s">
        <v>157</v>
      </c>
    </row>
    <row r="41" spans="13:21">
      <c r="M41" s="141" t="s">
        <v>221</v>
      </c>
    </row>
    <row r="42" spans="13:21">
      <c r="M42" s="141" t="s">
        <v>222</v>
      </c>
    </row>
    <row r="43" spans="13:21">
      <c r="M43" s="141" t="s">
        <v>223</v>
      </c>
    </row>
    <row r="44" spans="13:21">
      <c r="M44" s="141" t="s">
        <v>224</v>
      </c>
    </row>
    <row r="45" spans="13:21">
      <c r="M45" s="141" t="s">
        <v>225</v>
      </c>
    </row>
    <row r="46" spans="13:21">
      <c r="M46" s="141" t="s">
        <v>226</v>
      </c>
    </row>
    <row r="47" spans="13:21">
      <c r="U47" s="149"/>
    </row>
    <row r="48" spans="13:21">
      <c r="M48" s="141" t="s">
        <v>227</v>
      </c>
    </row>
    <row r="49" spans="13:13">
      <c r="M49" s="144" t="s">
        <v>228</v>
      </c>
    </row>
  </sheetData>
  <pageMargins left="0.74803149606299213" right="0.74803149606299213" top="0.74803149606299213" bottom="0.74803149606299213" header="0.31496062992125984" footer="0.31496062992125984"/>
  <pageSetup paperSize="9" orientation="portrait" r:id="rId1"/>
  <headerFooter alignWithMargins="0">
    <oddFooter>&amp;LLeongTY&amp;R&amp;F/&amp;A</oddFooter>
  </headerFooter>
  <rowBreaks count="1" manualBreakCount="1">
    <brk id="51" max="16383" man="1"/>
  </rowBreaks>
  <colBreaks count="2" manualBreakCount="2">
    <brk id="11" max="1048575" man="1"/>
    <brk id="22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03">
    <tabColor indexed="42"/>
  </sheetPr>
  <dimension ref="A1:F17"/>
  <sheetViews>
    <sheetView showGridLines="0" showRowColHeaders="0" zoomScale="110" zoomScaleNormal="110" workbookViewId="0"/>
  </sheetViews>
  <sheetFormatPr defaultColWidth="9.140625" defaultRowHeight="12.75"/>
  <cols>
    <col min="1" max="1" width="0.85546875" style="1" customWidth="1"/>
    <col min="2" max="6" width="24.7109375" style="1" customWidth="1"/>
    <col min="7" max="8" width="0.85546875" style="1" customWidth="1"/>
    <col min="9" max="16384" width="9.140625" style="1"/>
  </cols>
  <sheetData>
    <row r="1" spans="1:6" ht="15.75">
      <c r="B1" s="9" t="s">
        <v>31</v>
      </c>
      <c r="F1" s="53" t="s">
        <v>97</v>
      </c>
    </row>
    <row r="2" spans="1:6" ht="15.75">
      <c r="A2" s="95"/>
      <c r="B2" s="9"/>
    </row>
    <row r="6" spans="1:6" ht="24.95" customHeight="1">
      <c r="B6" s="17" t="s">
        <v>27</v>
      </c>
      <c r="C6" s="56" t="s">
        <v>0</v>
      </c>
      <c r="D6" s="33" t="s">
        <v>1</v>
      </c>
      <c r="E6" s="56" t="s">
        <v>2</v>
      </c>
      <c r="F6" s="56" t="s">
        <v>37</v>
      </c>
    </row>
    <row r="7" spans="1:6">
      <c r="B7" s="120" t="s">
        <v>110</v>
      </c>
      <c r="C7" s="34">
        <v>75</v>
      </c>
      <c r="D7" s="34">
        <v>89</v>
      </c>
      <c r="E7" s="34">
        <v>59</v>
      </c>
      <c r="F7" s="34">
        <v>75</v>
      </c>
    </row>
    <row r="8" spans="1:6" ht="22.5" customHeight="1"/>
    <row r="9" spans="1:6" ht="24.95" customHeight="1">
      <c r="B9" s="17" t="s">
        <v>63</v>
      </c>
      <c r="C9" s="56" t="s">
        <v>66</v>
      </c>
      <c r="D9" s="56" t="s">
        <v>65</v>
      </c>
      <c r="E9" s="56" t="s">
        <v>64</v>
      </c>
      <c r="F9" s="56" t="s">
        <v>67</v>
      </c>
    </row>
    <row r="10" spans="1:6">
      <c r="B10" s="120" t="s">
        <v>110</v>
      </c>
      <c r="C10" s="34">
        <v>29.8</v>
      </c>
      <c r="D10" s="34">
        <v>23.9</v>
      </c>
      <c r="E10" s="34">
        <v>65.5</v>
      </c>
      <c r="F10" s="34">
        <v>46</v>
      </c>
    </row>
    <row r="11" spans="1:6" ht="12" customHeight="1"/>
    <row r="12" spans="1:6" ht="15" customHeight="1"/>
    <row r="13" spans="1:6">
      <c r="B13" s="10" t="s">
        <v>32</v>
      </c>
    </row>
    <row r="14" spans="1:6">
      <c r="B14" s="2" t="s">
        <v>81</v>
      </c>
    </row>
    <row r="17" ht="14.25" customHeight="1"/>
  </sheetData>
  <customSheetViews>
    <customSheetView guid="{18D261E6-8F6E-4DCF-A3D9-294C7EF5648B}" showPageBreaks="1" showGridLines="0" showRowCol="0" showRuler="0">
      <selection activeCell="K23" sqref="K23"/>
      <colBreaks count="2" manualBreakCount="2">
        <brk id="7" max="1048575" man="1"/>
        <brk id="22" max="1048575" man="1"/>
      </colBreaks>
      <pageMargins left="0.74803149606299213" right="0.74803149606299213" top="0.98425196850393704" bottom="0.98425196850393704" header="0.51181102362204722" footer="0.51181102362204722"/>
      <printOptions horizontalCentered="1"/>
      <pageSetup paperSize="9" orientation="landscape" r:id="rId1"/>
      <headerFooter alignWithMargins="0">
        <oddFooter>&amp;LLeongTY&amp;R&amp;F/&amp;A</oddFooter>
      </headerFooter>
    </customSheetView>
    <customSheetView guid="{41690409-2766-4911-B71D-0C470EB1EC9C}" showPageBreaks="1" showGridLines="0" showRowCol="0" showRuler="0">
      <selection activeCell="K23" sqref="K23"/>
      <colBreaks count="1" manualBreakCount="1">
        <brk id="7" max="1048575" man="1"/>
      </colBreaks>
      <pageMargins left="0.74803149606299213" right="0.74803149606299213" top="0.98425196850393704" bottom="0.98425196850393704" header="0.51181102362204722" footer="0.51181102362204722"/>
      <printOptions horizontalCentered="1"/>
      <pageSetup paperSize="9" orientation="landscape" r:id="rId2"/>
      <headerFooter alignWithMargins="0">
        <oddFooter>&amp;LLeongTY&amp;R&amp;F/&amp;A</oddFooter>
      </headerFooter>
    </customSheetView>
  </customSheetViews>
  <phoneticPr fontId="8" type="noConversion"/>
  <conditionalFormatting sqref="C10:F10 C7:F7">
    <cfRule type="cellIs" dxfId="17" priority="1" stopIfTrue="1" operator="equal">
      <formula>""</formula>
    </cfRule>
  </conditionalFormatting>
  <hyperlinks>
    <hyperlink ref="C6" r:id="rId3" display="http://www.epson.co.id/products/printers/inkjet/EPSON_Stylus_C43SX.shtml" xr:uid="{00000000-0004-0000-0200-000000000000}"/>
    <hyperlink ref="F6" r:id="rId4" display="http://www.ciao.co.uk/HP_DeskJet_3744__6272903" xr:uid="{00000000-0004-0000-0200-000001000000}"/>
    <hyperlink ref="E6" r:id="rId5" display="http://www.amazon.co.uk/exec/obidos/ASIN/B000A3H4VA/electricalcom-21/202-6884881-9463813" xr:uid="{00000000-0004-0000-0200-000002000000}"/>
    <hyperlink ref="D9" r:id="rId6" display="Canon BCI24 Colour ink cartridge" xr:uid="{00000000-0004-0000-0200-000003000000}"/>
    <hyperlink ref="C9" r:id="rId7" display="T039090 Colour Ink Cartridge" xr:uid="{00000000-0004-0000-0200-000004000000}"/>
    <hyperlink ref="F9" r:id="rId8" xr:uid="{00000000-0004-0000-0200-000005000000}"/>
    <hyperlink ref="E9" r:id="rId9" xr:uid="{00000000-0004-0000-0200-000006000000}"/>
  </hyperlinks>
  <printOptions horizontalCentered="1"/>
  <pageMargins left="0.74803149606299213" right="0.74803149606299213" top="0.74803149606299213" bottom="0.74803149606299213" header="0.31496062992125984" footer="0.31496062992125984"/>
  <pageSetup paperSize="9" orientation="landscape" r:id="rId10"/>
  <headerFooter alignWithMargins="0">
    <oddFooter>&amp;LLeongTY&amp;R&amp;F/&amp;A</oddFooter>
  </headerFooter>
  <colBreaks count="1" manualBreakCount="1">
    <brk id="7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04"/>
  <dimension ref="A1"/>
  <sheetViews>
    <sheetView zoomScale="110" zoomScaleNormal="110" workbookViewId="0"/>
  </sheetViews>
  <sheetFormatPr defaultRowHeight="12.75"/>
  <sheetData/>
  <customSheetViews>
    <customSheetView guid="{18D261E6-8F6E-4DCF-A3D9-294C7EF5648B}" showPageBreaks="1" showRuler="0">
      <selection activeCell="K23" sqref="K23"/>
      <pageMargins left="0.75" right="0.75" top="1" bottom="1" header="0.5" footer="0.5"/>
      <pageSetup paperSize="9" orientation="portrait" r:id="rId1"/>
      <headerFooter alignWithMargins="0"/>
    </customSheetView>
    <customSheetView guid="{41690409-2766-4911-B71D-0C470EB1EC9C}" showPageBreaks="1" showRuler="0">
      <selection activeCell="K23" sqref="K23"/>
      <pageMargins left="0.75" right="0.75" top="1" bottom="1" header="0.5" footer="0.5"/>
      <headerFooter alignWithMargins="0"/>
    </customSheetView>
  </customSheetViews>
  <phoneticPr fontId="8" type="noConversion"/>
  <pageMargins left="0.75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5"/>
  <dimension ref="B1:T46"/>
  <sheetViews>
    <sheetView showGridLines="0" zoomScale="110" zoomScaleNormal="110" workbookViewId="0"/>
  </sheetViews>
  <sheetFormatPr defaultColWidth="9.140625" defaultRowHeight="12.75"/>
  <cols>
    <col min="1" max="1" width="0.85546875" style="22" customWidth="1"/>
    <col min="2" max="2" width="2.28515625" style="22" customWidth="1"/>
    <col min="3" max="4" width="8.28515625" style="22" customWidth="1"/>
    <col min="5" max="5" width="4.7109375" style="22" customWidth="1"/>
    <col min="6" max="7" width="8.28515625" style="22" customWidth="1"/>
    <col min="8" max="8" width="6.7109375" style="22" customWidth="1"/>
    <col min="9" max="10" width="8.28515625" style="22" customWidth="1"/>
    <col min="11" max="11" width="4.7109375" style="22" customWidth="1"/>
    <col min="12" max="13" width="8.28515625" style="22" customWidth="1"/>
    <col min="14" max="14" width="4.7109375" style="22" customWidth="1"/>
    <col min="15" max="16" width="8.28515625" style="22" customWidth="1"/>
    <col min="17" max="17" width="4.7109375" style="22" customWidth="1"/>
    <col min="18" max="19" width="8.28515625" style="22" customWidth="1"/>
    <col min="20" max="20" width="2.28515625" style="22" customWidth="1"/>
    <col min="21" max="22" width="0.85546875" style="22" customWidth="1"/>
    <col min="23" max="16384" width="9.140625" style="22"/>
  </cols>
  <sheetData>
    <row r="1" spans="2:20" ht="15.75">
      <c r="B1" s="84" t="s">
        <v>96</v>
      </c>
      <c r="T1" s="53" t="s">
        <v>97</v>
      </c>
    </row>
    <row r="2" spans="2:20" ht="13.15" customHeight="1">
      <c r="B2" s="23"/>
    </row>
    <row r="3" spans="2:20" ht="13.15" customHeight="1">
      <c r="B3" s="23"/>
    </row>
    <row r="4" spans="2:20" ht="13.15" customHeight="1">
      <c r="B4" s="23"/>
    </row>
    <row r="5" spans="2:20" ht="13.15" customHeight="1"/>
    <row r="6" spans="2:20" ht="13.15" customHeight="1"/>
    <row r="7" spans="2:20" ht="13.15" customHeight="1"/>
    <row r="8" spans="2:20" ht="13.15" customHeight="1"/>
    <row r="9" spans="2:20" ht="13.15" customHeight="1"/>
    <row r="10" spans="2:20" ht="13.15" customHeight="1"/>
    <row r="11" spans="2:20" ht="13.15" customHeight="1"/>
    <row r="12" spans="2:20" ht="13.15" customHeight="1"/>
    <row r="13" spans="2:20" ht="13.15" customHeight="1"/>
    <row r="14" spans="2:20" ht="13.15" customHeight="1"/>
    <row r="15" spans="2:20" ht="13.15" customHeight="1"/>
    <row r="16" spans="2:20" ht="13.15" customHeight="1"/>
    <row r="17" ht="13.15" customHeight="1"/>
    <row r="18" ht="13.15" customHeight="1"/>
    <row r="19" ht="13.15" customHeight="1"/>
    <row r="20" ht="13.15" customHeight="1"/>
    <row r="21" ht="13.15" customHeight="1"/>
    <row r="22" ht="13.15" customHeight="1"/>
    <row r="23" ht="13.15" customHeight="1"/>
    <row r="24" ht="13.15" customHeight="1"/>
    <row r="25" ht="13.15" customHeight="1"/>
    <row r="26" ht="13.15" customHeight="1"/>
    <row r="27" ht="13.15" customHeight="1"/>
    <row r="28" ht="13.15" customHeight="1"/>
    <row r="29" ht="13.15" customHeight="1"/>
    <row r="30" ht="13.15" customHeight="1"/>
    <row r="31" ht="13.15" customHeight="1"/>
    <row r="32" ht="13.15" customHeight="1"/>
    <row r="33" ht="13.15" customHeight="1"/>
    <row r="34" ht="13.15" customHeight="1"/>
    <row r="35" ht="13.15" customHeight="1"/>
    <row r="36" ht="13.15" customHeight="1"/>
    <row r="37" ht="13.15" customHeight="1"/>
    <row r="38" ht="13.15" customHeight="1"/>
    <row r="39" ht="13.15" customHeight="1"/>
    <row r="40" ht="13.15" customHeight="1"/>
    <row r="41" ht="13.15" customHeight="1"/>
    <row r="42" ht="13.15" customHeight="1"/>
    <row r="43" ht="13.15" customHeight="1"/>
    <row r="44" ht="13.15" customHeight="1"/>
    <row r="45" ht="13.15" customHeight="1"/>
    <row r="46" ht="13.15" customHeight="1"/>
  </sheetData>
  <customSheetViews>
    <customSheetView guid="{18D261E6-8F6E-4DCF-A3D9-294C7EF5648B}" showGridLines="0" showRuler="0">
      <colBreaks count="2" manualBreakCount="2">
        <brk id="21" max="1048575" man="1"/>
        <brk id="36" max="1048575" man="1"/>
      </colBreaks>
      <pageMargins left="0.74803149606299213" right="0.74803149606299213" top="0.98425196850393704" bottom="0.98425196850393704" header="0.51181102362204722" footer="0.51181102362204722"/>
      <printOptions horizontalCentered="1"/>
      <pageSetup paperSize="9" orientation="landscape" r:id="rId1"/>
      <headerFooter alignWithMargins="0">
        <oddFooter>&amp;LLeongTY&amp;R&amp;F/&amp;A</oddFooter>
      </headerFooter>
    </customSheetView>
  </customSheetViews>
  <phoneticPr fontId="13" type="noConversion"/>
  <pageMargins left="0.74803149606299213" right="0.74803149606299213" top="0.74803149606299213" bottom="0.74803149606299213" header="0.31496062992125984" footer="0.31496062992125984"/>
  <pageSetup paperSize="9" orientation="landscape" r:id="rId2"/>
  <headerFooter alignWithMargins="0">
    <oddFooter>&amp;LLeongTY&amp;R&amp;F/&amp;A</oddFooter>
  </headerFooter>
  <colBreaks count="2" manualBreakCount="2">
    <brk id="21" max="1048575" man="1"/>
    <brk id="36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6">
    <tabColor rgb="FFCCCCFF"/>
  </sheetPr>
  <dimension ref="A1:T32"/>
  <sheetViews>
    <sheetView showGridLines="0" showRowColHeaders="0" zoomScale="110" zoomScaleNormal="110" workbookViewId="0"/>
  </sheetViews>
  <sheetFormatPr defaultColWidth="9.140625" defaultRowHeight="12.75"/>
  <cols>
    <col min="1" max="1" width="0.85546875" style="22" customWidth="1"/>
    <col min="2" max="2" width="2.28515625" style="22" customWidth="1"/>
    <col min="3" max="4" width="8.28515625" style="22" customWidth="1"/>
    <col min="5" max="5" width="4.7109375" style="22" customWidth="1"/>
    <col min="6" max="7" width="8.28515625" style="22" customWidth="1"/>
    <col min="8" max="8" width="6.7109375" style="22" customWidth="1"/>
    <col min="9" max="10" width="8.28515625" style="22" customWidth="1"/>
    <col min="11" max="11" width="4.7109375" style="22" customWidth="1"/>
    <col min="12" max="13" width="8.28515625" style="22" customWidth="1"/>
    <col min="14" max="14" width="4.7109375" style="22" customWidth="1"/>
    <col min="15" max="16" width="8.28515625" style="22" customWidth="1"/>
    <col min="17" max="17" width="4.7109375" style="22" customWidth="1"/>
    <col min="18" max="19" width="8.28515625" style="22" customWidth="1"/>
    <col min="20" max="20" width="2.28515625" style="22" customWidth="1"/>
    <col min="21" max="22" width="0.85546875" style="22" customWidth="1"/>
    <col min="23" max="16384" width="9.140625" style="22"/>
  </cols>
  <sheetData>
    <row r="1" spans="1:20" ht="15.75">
      <c r="B1" s="84" t="s">
        <v>3</v>
      </c>
      <c r="T1" s="53" t="s">
        <v>97</v>
      </c>
    </row>
    <row r="2" spans="1:20" ht="13.15" customHeight="1">
      <c r="A2" s="96"/>
      <c r="B2" s="21"/>
      <c r="T2" s="53"/>
    </row>
    <row r="3" spans="1:20" ht="13.15" customHeight="1">
      <c r="B3" s="23"/>
    </row>
    <row r="4" spans="1:20" ht="13.15" customHeight="1"/>
    <row r="5" spans="1:20" ht="13.15" customHeight="1"/>
    <row r="6" spans="1:20" ht="13.15" customHeight="1"/>
    <row r="7" spans="1:20" ht="13.15" customHeight="1"/>
    <row r="8" spans="1:20" ht="13.15" customHeight="1"/>
    <row r="9" spans="1:20" ht="13.15" customHeight="1"/>
    <row r="10" spans="1:20" ht="13.15" customHeight="1"/>
    <row r="11" spans="1:20" ht="13.15" customHeight="1"/>
    <row r="12" spans="1:20" ht="13.15" customHeight="1"/>
    <row r="13" spans="1:20" ht="13.15" customHeight="1"/>
    <row r="14" spans="1:20" ht="13.15" customHeight="1"/>
    <row r="15" spans="1:20" ht="13.15" customHeight="1"/>
    <row r="16" spans="1:20" ht="13.15" customHeight="1"/>
    <row r="17" ht="13.15" customHeight="1"/>
    <row r="18" ht="13.15" customHeight="1"/>
    <row r="19" ht="13.15" customHeight="1"/>
    <row r="20" ht="13.15" customHeight="1"/>
    <row r="21" ht="13.15" customHeight="1"/>
    <row r="22" ht="13.15" customHeight="1"/>
    <row r="23" ht="13.15" customHeight="1"/>
    <row r="24" ht="13.15" customHeight="1"/>
    <row r="25" ht="13.15" customHeight="1"/>
    <row r="26" ht="13.15" customHeight="1"/>
    <row r="27" ht="13.15" customHeight="1"/>
    <row r="28" ht="13.15" customHeight="1"/>
    <row r="29" ht="13.15" customHeight="1"/>
    <row r="30" ht="13.15" customHeight="1"/>
    <row r="31" ht="13.15" customHeight="1"/>
    <row r="32" ht="13.15" customHeight="1"/>
  </sheetData>
  <customSheetViews>
    <customSheetView guid="{18D261E6-8F6E-4DCF-A3D9-294C7EF5648B}" showPageBreaks="1" showGridLines="0" showRowCol="0" showRuler="0">
      <selection activeCell="K23" sqref="K23"/>
      <colBreaks count="2" manualBreakCount="2">
        <brk id="21" max="1048575" man="1"/>
        <brk id="36" max="1048575" man="1"/>
      </colBreaks>
      <pageMargins left="0.74803149606299213" right="0.74803149606299213" top="0.98425196850393704" bottom="0.98425196850393704" header="0.51181102362204722" footer="0.51181102362204722"/>
      <printOptions horizontalCentered="1"/>
      <pageSetup paperSize="9" orientation="landscape" r:id="rId1"/>
      <headerFooter alignWithMargins="0">
        <oddFooter>&amp;LLeongTY&amp;R&amp;F/&amp;A</oddFooter>
      </headerFooter>
    </customSheetView>
    <customSheetView guid="{41690409-2766-4911-B71D-0C470EB1EC9C}" showPageBreaks="1" showGridLines="0" showRowCol="0" showRuler="0">
      <selection activeCell="K23" sqref="K23"/>
      <colBreaks count="2" manualBreakCount="2">
        <brk id="21" max="1048575" man="1"/>
        <brk id="36" max="1048575" man="1"/>
      </colBreaks>
      <pageMargins left="0.74803149606299213" right="0.74803149606299213" top="0.98425196850393704" bottom="0.98425196850393704" header="0.51181102362204722" footer="0.51181102362204722"/>
      <printOptions horizontalCentered="1"/>
      <pageSetup paperSize="9" orientation="landscape" r:id="rId2"/>
      <headerFooter alignWithMargins="0">
        <oddFooter>&amp;LLeongTY&amp;R&amp;F/&amp;A</oddFooter>
      </headerFooter>
    </customSheetView>
  </customSheetViews>
  <phoneticPr fontId="13" type="noConversion"/>
  <pageMargins left="0.74803149606299213" right="0.74803149606299213" top="0.74803149606299213" bottom="0.74803149606299213" header="0.31496062992125984" footer="0.31496062992125984"/>
  <pageSetup paperSize="9" orientation="landscape" r:id="rId3"/>
  <headerFooter alignWithMargins="0">
    <oddFooter>&amp;LLeongTY&amp;R&amp;F/&amp;A</oddFooter>
  </headerFooter>
  <colBreaks count="2" manualBreakCount="2">
    <brk id="21" max="1048575" man="1"/>
    <brk id="36" max="1048575" man="1"/>
  </colBreaks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7">
    <tabColor rgb="FFCCCCFF"/>
  </sheetPr>
  <dimension ref="A1:Q26"/>
  <sheetViews>
    <sheetView showGridLines="0" showRowColHeaders="0" zoomScale="110" zoomScaleNormal="110" workbookViewId="0">
      <selection activeCell="O27" sqref="O27"/>
    </sheetView>
  </sheetViews>
  <sheetFormatPr defaultColWidth="9.140625" defaultRowHeight="12.75"/>
  <cols>
    <col min="1" max="1" width="0.85546875" style="22" customWidth="1"/>
    <col min="2" max="2" width="8" style="22" customWidth="1"/>
    <col min="3" max="3" width="9.140625" style="22" customWidth="1"/>
    <col min="4" max="4" width="6.7109375" style="22" customWidth="1"/>
    <col min="5" max="5" width="4.5703125" style="22" customWidth="1"/>
    <col min="6" max="9" width="9.140625" style="22" customWidth="1"/>
    <col min="10" max="10" width="4.7109375" style="22" customWidth="1"/>
    <col min="11" max="11" width="9.140625" style="22" customWidth="1"/>
    <col min="12" max="12" width="11.28515625" style="22" customWidth="1"/>
    <col min="13" max="16" width="9.140625" style="22" customWidth="1"/>
    <col min="17" max="17" width="4.7109375" style="22" customWidth="1"/>
    <col min="18" max="19" width="0.85546875" style="22" customWidth="1"/>
    <col min="20" max="16384" width="9.140625" style="22"/>
  </cols>
  <sheetData>
    <row r="1" spans="1:17" ht="15.75">
      <c r="B1" s="84" t="s">
        <v>115</v>
      </c>
      <c r="Q1" s="53" t="s">
        <v>234</v>
      </c>
    </row>
    <row r="2" spans="1:17">
      <c r="A2" s="96"/>
    </row>
    <row r="3" spans="1:17">
      <c r="B3" s="150" t="s">
        <v>229</v>
      </c>
      <c r="L3" s="150" t="s">
        <v>230</v>
      </c>
    </row>
    <row r="4" spans="1:17">
      <c r="G4" s="24"/>
      <c r="H4" s="24"/>
      <c r="I4" s="24"/>
    </row>
    <row r="5" spans="1:17">
      <c r="B5" s="25" t="s">
        <v>4</v>
      </c>
      <c r="G5" s="24"/>
      <c r="H5" s="24"/>
      <c r="I5" s="24"/>
      <c r="L5" s="25" t="s">
        <v>6</v>
      </c>
    </row>
    <row r="6" spans="1:17">
      <c r="B6" s="27" t="s">
        <v>8</v>
      </c>
      <c r="G6" s="24"/>
      <c r="H6" s="24"/>
      <c r="I6" s="24"/>
      <c r="L6" s="71" t="s">
        <v>29</v>
      </c>
      <c r="M6" s="71"/>
    </row>
    <row r="7" spans="1:17">
      <c r="B7" s="27" t="s">
        <v>35</v>
      </c>
      <c r="G7" s="24"/>
      <c r="H7" s="24"/>
      <c r="I7" s="24"/>
      <c r="L7" s="29" t="s">
        <v>25</v>
      </c>
      <c r="M7" s="29"/>
    </row>
    <row r="8" spans="1:17">
      <c r="G8" s="24"/>
      <c r="H8" s="24"/>
      <c r="I8" s="24"/>
      <c r="L8" s="29" t="s">
        <v>12</v>
      </c>
      <c r="M8" s="29"/>
    </row>
    <row r="9" spans="1:17">
      <c r="G9" s="24"/>
      <c r="H9" s="24"/>
      <c r="I9" s="24"/>
      <c r="L9" s="30" t="s">
        <v>10</v>
      </c>
      <c r="M9" s="30"/>
    </row>
    <row r="10" spans="1:17">
      <c r="G10" s="24"/>
      <c r="H10" s="24"/>
      <c r="I10" s="24"/>
      <c r="L10" s="30" t="s">
        <v>30</v>
      </c>
      <c r="M10" s="30"/>
    </row>
    <row r="11" spans="1:17">
      <c r="G11" s="24"/>
      <c r="H11" s="24"/>
      <c r="I11" s="24"/>
    </row>
    <row r="12" spans="1:17">
      <c r="B12" s="25" t="s">
        <v>5</v>
      </c>
      <c r="G12" s="24"/>
      <c r="H12" s="24"/>
      <c r="I12" s="24"/>
      <c r="L12" s="25" t="s">
        <v>7</v>
      </c>
    </row>
    <row r="13" spans="1:17">
      <c r="B13" s="28" t="s">
        <v>28</v>
      </c>
      <c r="G13" s="24"/>
      <c r="H13" s="24"/>
      <c r="I13" s="24"/>
      <c r="L13" s="31" t="s">
        <v>9</v>
      </c>
    </row>
    <row r="14" spans="1:17">
      <c r="B14" s="28" t="s">
        <v>34</v>
      </c>
      <c r="G14" s="24"/>
      <c r="H14" s="24"/>
      <c r="I14" s="24"/>
      <c r="L14" s="31" t="s">
        <v>36</v>
      </c>
    </row>
    <row r="15" spans="1:17">
      <c r="B15" s="28" t="s">
        <v>87</v>
      </c>
      <c r="G15" s="24"/>
      <c r="H15" s="24"/>
      <c r="I15" s="24"/>
    </row>
    <row r="17" spans="1:12">
      <c r="A17" s="26"/>
      <c r="H17" s="32"/>
      <c r="I17" s="32"/>
      <c r="J17" s="32"/>
      <c r="K17" s="32"/>
      <c r="L17" s="26"/>
    </row>
    <row r="18" spans="1:12">
      <c r="A18" s="26"/>
      <c r="B18" s="25" t="s">
        <v>14</v>
      </c>
      <c r="C18" s="32"/>
      <c r="D18" s="32"/>
      <c r="E18" s="32"/>
      <c r="F18" s="32"/>
      <c r="G18" s="32"/>
      <c r="H18" s="32"/>
      <c r="I18" s="32"/>
      <c r="J18" s="32"/>
      <c r="K18" s="32"/>
      <c r="L18" s="26"/>
    </row>
    <row r="19" spans="1:12">
      <c r="A19" s="26"/>
      <c r="B19" s="151" t="s">
        <v>21</v>
      </c>
      <c r="C19" s="151"/>
      <c r="D19" s="151"/>
      <c r="E19" s="152" t="s">
        <v>19</v>
      </c>
      <c r="F19" s="151"/>
      <c r="G19" s="32"/>
      <c r="H19" s="32"/>
      <c r="I19" s="32"/>
      <c r="J19" s="32"/>
      <c r="K19" s="32"/>
      <c r="L19" s="26"/>
    </row>
    <row r="20" spans="1:12">
      <c r="A20" s="26"/>
      <c r="B20" s="151" t="s">
        <v>15</v>
      </c>
      <c r="C20" s="151"/>
      <c r="D20" s="151"/>
      <c r="E20" s="152" t="s">
        <v>20</v>
      </c>
      <c r="F20" s="151"/>
      <c r="G20" s="32"/>
      <c r="H20" s="32"/>
      <c r="I20" s="32"/>
      <c r="J20" s="32"/>
      <c r="K20" s="32"/>
      <c r="L20" s="26"/>
    </row>
    <row r="21" spans="1:12">
      <c r="A21" s="26"/>
      <c r="B21" s="151" t="s">
        <v>231</v>
      </c>
      <c r="C21" s="151"/>
      <c r="D21" s="151"/>
      <c r="E21" s="152" t="s">
        <v>232</v>
      </c>
      <c r="F21" s="151"/>
      <c r="G21" s="32"/>
      <c r="H21" s="32"/>
      <c r="I21" s="32"/>
      <c r="J21" s="32"/>
      <c r="K21" s="32"/>
      <c r="L21" s="26"/>
    </row>
    <row r="22" spans="1:12">
      <c r="A22" s="26"/>
      <c r="B22" s="151"/>
      <c r="C22" s="151"/>
      <c r="D22" s="151"/>
      <c r="E22" s="152"/>
      <c r="F22" s="151"/>
      <c r="G22" s="32"/>
      <c r="H22" s="32"/>
      <c r="I22" s="32"/>
      <c r="J22" s="32"/>
      <c r="K22" s="32"/>
      <c r="L22" s="26"/>
    </row>
    <row r="23" spans="1:12">
      <c r="A23" s="26"/>
      <c r="B23" s="151" t="s">
        <v>22</v>
      </c>
      <c r="C23" s="151"/>
      <c r="D23" s="151"/>
      <c r="E23" s="152" t="s">
        <v>16</v>
      </c>
      <c r="F23" s="151"/>
      <c r="G23" s="32"/>
      <c r="H23" s="26"/>
      <c r="I23" s="26"/>
      <c r="J23" s="26"/>
      <c r="K23" s="26"/>
      <c r="L23" s="26"/>
    </row>
    <row r="24" spans="1:12">
      <c r="B24" s="151" t="s">
        <v>18</v>
      </c>
      <c r="C24" s="151"/>
      <c r="D24" s="151"/>
      <c r="E24" s="152" t="s">
        <v>17</v>
      </c>
      <c r="F24" s="151"/>
    </row>
    <row r="25" spans="1:12">
      <c r="B25" s="26"/>
    </row>
    <row r="26" spans="1:12">
      <c r="B26" s="26"/>
    </row>
  </sheetData>
  <customSheetViews>
    <customSheetView guid="{18D261E6-8F6E-4DCF-A3D9-294C7EF5648B}" scale="125" showPageBreaks="1" showGridLines="0" showRowCol="0" showRuler="0">
      <selection activeCell="K23" sqref="K23"/>
      <pageMargins left="0.98425196850393704" right="0.98425196850393704" top="0.98425196850393704" bottom="0.98425196850393704" header="0.51181102362204722" footer="0.51181102362204722"/>
      <pageSetup paperSize="9" orientation="landscape" r:id="rId1"/>
      <headerFooter alignWithMargins="0">
        <oddFooter>&amp;LLeongTY&amp;R&amp;F/&amp;A</oddFooter>
      </headerFooter>
    </customSheetView>
    <customSheetView guid="{41690409-2766-4911-B71D-0C470EB1EC9C}" scale="125" showPageBreaks="1" showGridLines="0" showRowCol="0" showRuler="0">
      <selection activeCell="K23" sqref="K23"/>
      <pageMargins left="0.98425196850393704" right="0.98425196850393704" top="0.98425196850393704" bottom="0.98425196850393704" header="0.51181102362204722" footer="0.51181102362204722"/>
      <pageSetup paperSize="9" orientation="landscape" r:id="rId2"/>
      <headerFooter alignWithMargins="0">
        <oddFooter>&amp;LLeongTY&amp;R&amp;F/&amp;A</oddFooter>
      </headerFooter>
    </customSheetView>
  </customSheetViews>
  <phoneticPr fontId="13" type="noConversion"/>
  <pageMargins left="0.74803149606299213" right="0.74803149606299213" top="0.74803149606299213" bottom="0.74803149606299213" header="0.31496062992125984" footer="0.31496062992125984"/>
  <pageSetup paperSize="9" orientation="landscape" r:id="rId3"/>
  <headerFooter alignWithMargins="0">
    <oddFooter>&amp;LLeongTY&amp;R&amp;F/&amp;A</oddFooter>
  </headerFooter>
  <colBreaks count="1" manualBreakCount="1">
    <brk id="18" max="1048575" man="1"/>
  </colBreak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08">
    <tabColor rgb="FFCCCCFF"/>
  </sheetPr>
  <dimension ref="B1:N30"/>
  <sheetViews>
    <sheetView showGridLines="0" showRowColHeaders="0" zoomScale="110" zoomScaleNormal="110" workbookViewId="0"/>
  </sheetViews>
  <sheetFormatPr defaultColWidth="9.140625" defaultRowHeight="12.75"/>
  <cols>
    <col min="1" max="1" width="0.85546875" style="22" customWidth="1"/>
    <col min="2" max="2" width="2.5703125" style="22" customWidth="1"/>
    <col min="3" max="3" width="14.7109375" style="22" customWidth="1"/>
    <col min="4" max="4" width="4.7109375" style="22" customWidth="1"/>
    <col min="5" max="5" width="14.7109375" style="22" customWidth="1"/>
    <col min="6" max="6" width="6.7109375" style="22" customWidth="1"/>
    <col min="7" max="7" width="14.7109375" style="22" customWidth="1"/>
    <col min="8" max="8" width="4.7109375" style="22" customWidth="1"/>
    <col min="9" max="11" width="14.7109375" style="22" customWidth="1"/>
    <col min="12" max="12" width="4.7109375" style="22" customWidth="1"/>
    <col min="13" max="13" width="14.7109375" style="22" customWidth="1"/>
    <col min="14" max="14" width="2.28515625" style="22" customWidth="1"/>
    <col min="15" max="16" width="0.85546875" style="22" customWidth="1"/>
    <col min="17" max="16384" width="9.140625" style="22"/>
  </cols>
  <sheetData>
    <row r="1" spans="2:14" ht="15.75">
      <c r="B1" s="84" t="s">
        <v>92</v>
      </c>
      <c r="D1" s="154" t="b">
        <v>1</v>
      </c>
      <c r="E1" s="100" t="s">
        <v>95</v>
      </c>
      <c r="F1" s="153" t="s">
        <v>233</v>
      </c>
      <c r="N1" s="53" t="s">
        <v>234</v>
      </c>
    </row>
    <row r="2" spans="2:14">
      <c r="B2" s="96"/>
    </row>
    <row r="4" spans="2:14">
      <c r="C4" s="91" t="s">
        <v>8</v>
      </c>
      <c r="D4" s="85"/>
      <c r="E4" s="85"/>
      <c r="F4" s="85"/>
      <c r="G4" s="85"/>
      <c r="H4" s="85"/>
      <c r="I4" s="92" t="s">
        <v>10</v>
      </c>
      <c r="J4" s="92"/>
      <c r="K4" s="92"/>
      <c r="L4" s="85"/>
      <c r="M4" s="85"/>
      <c r="N4" s="85"/>
    </row>
    <row r="5" spans="2:14">
      <c r="C5" s="105">
        <v>60</v>
      </c>
      <c r="D5" s="85"/>
      <c r="E5" s="85"/>
      <c r="F5" s="85"/>
      <c r="G5" s="85"/>
      <c r="H5" s="85"/>
      <c r="I5" s="88">
        <f>C5*E8</f>
        <v>384</v>
      </c>
      <c r="J5" s="85"/>
      <c r="K5" s="85"/>
      <c r="L5" s="85"/>
      <c r="M5" s="85"/>
      <c r="N5" s="85"/>
    </row>
    <row r="6" spans="2:14"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</row>
    <row r="7" spans="2:14">
      <c r="C7" s="85"/>
      <c r="D7" s="86"/>
      <c r="E7" s="92" t="s">
        <v>9</v>
      </c>
      <c r="F7" s="85"/>
      <c r="G7" s="92" t="s">
        <v>36</v>
      </c>
      <c r="H7" s="85"/>
      <c r="K7" s="92" t="s">
        <v>25</v>
      </c>
      <c r="L7" s="85"/>
      <c r="M7" s="85"/>
      <c r="N7" s="85"/>
    </row>
    <row r="8" spans="2:14">
      <c r="D8" s="85"/>
      <c r="E8" s="122">
        <f>10-0.06*C5</f>
        <v>6.4</v>
      </c>
      <c r="F8" s="85"/>
      <c r="G8" s="90">
        <f>6*E8+0*C12</f>
        <v>38.400000000000006</v>
      </c>
      <c r="H8" s="85"/>
      <c r="K8" s="93">
        <f>I5+I12</f>
        <v>1152</v>
      </c>
      <c r="L8" s="85"/>
      <c r="M8" s="85"/>
      <c r="N8" s="85"/>
    </row>
    <row r="9" spans="2:14">
      <c r="D9" s="85"/>
      <c r="F9" s="85"/>
      <c r="G9" s="85"/>
      <c r="H9" s="85"/>
      <c r="I9" s="85"/>
      <c r="J9" s="85"/>
      <c r="L9" s="85"/>
      <c r="M9" s="85"/>
      <c r="N9" s="85"/>
    </row>
    <row r="10" spans="2:14">
      <c r="D10" s="85"/>
      <c r="F10" s="85"/>
      <c r="G10" s="85"/>
      <c r="H10" s="85"/>
      <c r="I10" s="85"/>
      <c r="J10" s="85"/>
      <c r="K10" s="85"/>
      <c r="L10" s="85"/>
      <c r="M10" s="85"/>
      <c r="N10" s="85"/>
    </row>
    <row r="11" spans="2:14">
      <c r="C11" s="91" t="s">
        <v>35</v>
      </c>
      <c r="D11" s="89"/>
      <c r="E11" s="85"/>
      <c r="F11" s="85"/>
      <c r="G11" s="85"/>
      <c r="H11" s="85"/>
      <c r="I11" s="92" t="s">
        <v>30</v>
      </c>
      <c r="J11" s="85"/>
      <c r="K11" s="85"/>
      <c r="L11" s="85"/>
      <c r="M11" s="85"/>
      <c r="N11" s="85"/>
    </row>
    <row r="12" spans="2:14">
      <c r="C12" s="105">
        <v>20</v>
      </c>
      <c r="D12" s="85"/>
      <c r="E12" s="85"/>
      <c r="F12" s="85"/>
      <c r="H12" s="85"/>
      <c r="I12" s="88">
        <f>C12*G8</f>
        <v>768.00000000000011</v>
      </c>
      <c r="J12" s="92"/>
      <c r="K12" s="92"/>
      <c r="L12" s="85"/>
      <c r="M12" s="92" t="s">
        <v>29</v>
      </c>
      <c r="N12" s="85"/>
    </row>
    <row r="13" spans="2:14">
      <c r="D13" s="85"/>
      <c r="E13" s="85"/>
      <c r="F13" s="85"/>
      <c r="H13" s="85"/>
      <c r="J13" s="85"/>
      <c r="K13" s="85"/>
      <c r="L13" s="85"/>
      <c r="M13" s="123">
        <f>K8-K20</f>
        <v>269.19999999999993</v>
      </c>
      <c r="N13" s="87"/>
    </row>
    <row r="14" spans="2:14">
      <c r="D14" s="85"/>
      <c r="E14" s="85"/>
      <c r="F14" s="85"/>
      <c r="G14" s="85"/>
      <c r="H14" s="85"/>
      <c r="I14" s="85"/>
      <c r="J14" s="85"/>
      <c r="K14" s="85"/>
      <c r="L14" s="85"/>
      <c r="N14" s="85"/>
    </row>
    <row r="15" spans="2:14">
      <c r="D15" s="85"/>
      <c r="E15" s="85"/>
      <c r="F15" s="85"/>
      <c r="G15" s="85"/>
      <c r="H15" s="85"/>
      <c r="I15" s="85"/>
      <c r="J15" s="85"/>
      <c r="K15" s="85"/>
      <c r="L15" s="85"/>
    </row>
    <row r="16" spans="2:14">
      <c r="C16" s="91" t="s">
        <v>28</v>
      </c>
      <c r="D16" s="85"/>
      <c r="E16" s="85"/>
      <c r="F16" s="85"/>
      <c r="G16" s="85"/>
      <c r="H16" s="85"/>
      <c r="I16" s="85"/>
      <c r="J16" s="85"/>
      <c r="K16" s="85"/>
      <c r="L16" s="85"/>
      <c r="N16" s="85"/>
    </row>
    <row r="17" spans="3:14">
      <c r="C17" s="106">
        <v>55</v>
      </c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</row>
    <row r="18" spans="3:14"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</row>
    <row r="19" spans="3:14">
      <c r="C19" s="91" t="s">
        <v>34</v>
      </c>
      <c r="D19" s="85"/>
      <c r="E19" s="85"/>
      <c r="F19" s="85"/>
      <c r="G19" s="85"/>
      <c r="H19" s="85"/>
      <c r="I19" s="85"/>
      <c r="J19" s="85"/>
      <c r="K19" s="92" t="s">
        <v>12</v>
      </c>
      <c r="L19" s="85"/>
      <c r="M19" s="85"/>
      <c r="N19" s="85"/>
    </row>
    <row r="20" spans="3:14">
      <c r="C20" s="106">
        <v>12</v>
      </c>
      <c r="D20" s="85"/>
      <c r="E20" s="85"/>
      <c r="F20" s="85"/>
      <c r="G20" s="85"/>
      <c r="H20" s="85"/>
      <c r="J20" s="92"/>
      <c r="K20" s="124">
        <f>C17*E8+C20*G8+C23</f>
        <v>882.80000000000007</v>
      </c>
      <c r="L20" s="85"/>
      <c r="M20" s="85"/>
      <c r="N20" s="85"/>
    </row>
    <row r="21" spans="3:14">
      <c r="C21" s="85"/>
      <c r="D21" s="85"/>
      <c r="E21" s="85"/>
      <c r="F21" s="85"/>
      <c r="G21" s="85"/>
      <c r="H21" s="85"/>
      <c r="J21" s="85"/>
      <c r="L21" s="85"/>
      <c r="M21" s="85"/>
      <c r="N21" s="85"/>
    </row>
    <row r="22" spans="3:14">
      <c r="C22" s="91" t="s">
        <v>87</v>
      </c>
      <c r="D22" s="85"/>
      <c r="E22" s="85"/>
      <c r="F22" s="85"/>
      <c r="G22" s="85"/>
      <c r="H22" s="85"/>
      <c r="L22" s="85"/>
      <c r="M22" s="85"/>
      <c r="N22" s="85"/>
    </row>
    <row r="23" spans="3:14">
      <c r="C23" s="106">
        <v>70</v>
      </c>
      <c r="D23" s="85"/>
      <c r="E23" s="85"/>
      <c r="F23" s="85"/>
      <c r="G23" s="85"/>
      <c r="H23" s="85"/>
      <c r="I23" s="85"/>
      <c r="J23" s="85"/>
      <c r="L23" s="85"/>
      <c r="M23" s="85"/>
      <c r="N23" s="85"/>
    </row>
    <row r="24" spans="3:14">
      <c r="D24" s="85"/>
      <c r="E24" s="85"/>
      <c r="F24" s="85"/>
      <c r="G24" s="85"/>
      <c r="H24" s="85"/>
      <c r="I24" s="85"/>
      <c r="J24" s="85"/>
      <c r="L24" s="85"/>
      <c r="M24" s="85"/>
      <c r="N24" s="85"/>
    </row>
    <row r="25" spans="3:14"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</row>
    <row r="26" spans="3:14">
      <c r="C26" s="85"/>
      <c r="D26" s="85"/>
      <c r="F26" s="85"/>
      <c r="H26" s="85"/>
      <c r="I26" s="85"/>
      <c r="J26" s="85"/>
      <c r="K26" s="85"/>
      <c r="L26" s="85"/>
      <c r="M26" s="85"/>
      <c r="N26" s="85"/>
    </row>
    <row r="27" spans="3:14">
      <c r="D27" s="85"/>
      <c r="F27" s="85"/>
      <c r="G27" s="85"/>
      <c r="H27" s="85"/>
      <c r="I27" s="85"/>
      <c r="J27" s="85"/>
      <c r="K27" s="85"/>
      <c r="L27" s="85"/>
      <c r="M27" s="85"/>
      <c r="N27" s="85"/>
    </row>
    <row r="28" spans="3:14"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</row>
    <row r="29" spans="3:14"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</row>
    <row r="30" spans="3:14"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</row>
  </sheetData>
  <customSheetViews>
    <customSheetView guid="{18D261E6-8F6E-4DCF-A3D9-294C7EF5648B}" scale="115" showGridLines="0" showRuler="0">
      <colBreaks count="1" manualBreakCount="1">
        <brk id="14" max="1048575" man="1"/>
      </colBreaks>
      <pageMargins left="0.75" right="0.75" top="1" bottom="1" header="0.5" footer="0.5"/>
      <pageSetup paperSize="9" scale="95" orientation="landscape" horizontalDpi="4294967293" r:id="rId1"/>
      <headerFooter alignWithMargins="0">
        <oddFooter>&amp;LLeongTY&amp;R&amp;F/&amp;A</oddFooter>
      </headerFooter>
    </customSheetView>
  </customSheetViews>
  <phoneticPr fontId="13" type="noConversion"/>
  <conditionalFormatting sqref="C12 C5">
    <cfRule type="cellIs" dxfId="16" priority="2" stopIfTrue="1" operator="equal">
      <formula>""</formula>
    </cfRule>
  </conditionalFormatting>
  <conditionalFormatting sqref="C20 C17 C23">
    <cfRule type="cellIs" dxfId="15" priority="3" stopIfTrue="1" operator="equal">
      <formula>""</formula>
    </cfRule>
  </conditionalFormatting>
  <pageMargins left="0.74803149606299213" right="0.74803149606299213" top="0.74803149606299213" bottom="0.74803149606299213" header="0.31496062992125984" footer="0.31496062992125984"/>
  <pageSetup paperSize="9" scale="95" orientation="landscape" horizontalDpi="4294967293" r:id="rId2"/>
  <headerFooter alignWithMargins="0">
    <oddFooter>&amp;LLeongTY&amp;R&amp;F/&amp;A</oddFooter>
  </headerFooter>
  <colBreaks count="1" manualBreakCount="1">
    <brk id="15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09"/>
  <dimension ref="A1:V28"/>
  <sheetViews>
    <sheetView showGridLines="0" zoomScale="110" zoomScaleNormal="110" workbookViewId="0"/>
  </sheetViews>
  <sheetFormatPr defaultRowHeight="12.75"/>
  <cols>
    <col min="1" max="1" width="0.85546875" customWidth="1"/>
    <col min="2" max="2" width="31.5703125" customWidth="1"/>
    <col min="13" max="13" width="8.28515625" customWidth="1"/>
    <col min="14" max="15" width="0.85546875" customWidth="1"/>
    <col min="36" max="37" width="0.85546875" customWidth="1"/>
  </cols>
  <sheetData>
    <row r="1" spans="1:22" ht="15.75">
      <c r="B1" s="54" t="s">
        <v>44</v>
      </c>
      <c r="C1" s="53"/>
      <c r="M1" s="53" t="s">
        <v>97</v>
      </c>
    </row>
    <row r="2" spans="1:22" s="42" customFormat="1" ht="12.75" customHeight="1">
      <c r="A2" s="98"/>
      <c r="B2" s="49"/>
      <c r="D2"/>
      <c r="M2"/>
      <c r="N2"/>
      <c r="O2"/>
      <c r="P2"/>
      <c r="Q2"/>
      <c r="R2"/>
      <c r="S2"/>
      <c r="T2"/>
      <c r="U2"/>
      <c r="V2"/>
    </row>
    <row r="3" spans="1:22">
      <c r="B3" s="10" t="s">
        <v>150</v>
      </c>
      <c r="E3" s="68" t="s">
        <v>43</v>
      </c>
    </row>
    <row r="4" spans="1:22">
      <c r="B4" s="5" t="s">
        <v>11</v>
      </c>
      <c r="C4" s="1"/>
      <c r="E4" s="69" t="s">
        <v>80</v>
      </c>
    </row>
    <row r="5" spans="1:22" ht="12.75" customHeight="1">
      <c r="B5" s="126" t="s">
        <v>137</v>
      </c>
      <c r="C5" s="36"/>
      <c r="E5" s="69" t="s">
        <v>79</v>
      </c>
    </row>
    <row r="6" spans="1:22">
      <c r="B6" s="126" t="s">
        <v>138</v>
      </c>
      <c r="C6" s="36"/>
      <c r="F6" s="67"/>
      <c r="G6" s="67"/>
      <c r="H6" s="67"/>
      <c r="I6" s="67"/>
      <c r="J6" s="67"/>
      <c r="K6" s="67"/>
      <c r="L6" s="67"/>
    </row>
    <row r="7" spans="1:22">
      <c r="B7" s="1"/>
      <c r="C7" s="1"/>
      <c r="H7" s="67"/>
      <c r="I7" s="67"/>
      <c r="J7" s="67"/>
      <c r="K7" s="67"/>
      <c r="L7" s="67"/>
    </row>
    <row r="8" spans="1:22">
      <c r="B8" s="5" t="s">
        <v>13</v>
      </c>
      <c r="C8" s="1"/>
      <c r="E8" s="68" t="s">
        <v>238</v>
      </c>
      <c r="F8" s="67"/>
      <c r="G8" s="67"/>
      <c r="H8" s="67"/>
      <c r="I8" s="67"/>
      <c r="J8" s="67"/>
      <c r="K8" s="67"/>
      <c r="L8" s="67"/>
    </row>
    <row r="9" spans="1:22">
      <c r="B9" s="126" t="s">
        <v>139</v>
      </c>
      <c r="C9" s="34"/>
      <c r="E9" s="155" t="s">
        <v>117</v>
      </c>
      <c r="F9" s="67"/>
      <c r="G9" s="156">
        <v>60</v>
      </c>
      <c r="H9" s="67"/>
      <c r="I9" s="67"/>
      <c r="J9" s="67"/>
      <c r="K9" s="67"/>
      <c r="L9" s="67"/>
    </row>
    <row r="10" spans="1:22" ht="12.75" customHeight="1" thickBot="1">
      <c r="B10" s="127" t="s">
        <v>140</v>
      </c>
      <c r="C10" s="43"/>
      <c r="E10" s="155" t="s">
        <v>125</v>
      </c>
      <c r="F10" s="67"/>
      <c r="G10" s="157">
        <v>6400</v>
      </c>
      <c r="H10" s="67"/>
      <c r="I10" s="67"/>
      <c r="J10" s="67"/>
      <c r="K10" s="67"/>
      <c r="L10" s="67"/>
    </row>
    <row r="11" spans="1:22" ht="13.5" thickTop="1">
      <c r="E11" s="155" t="s">
        <v>119</v>
      </c>
      <c r="F11" s="67"/>
      <c r="G11" s="156">
        <v>55</v>
      </c>
      <c r="H11" s="67"/>
      <c r="I11" s="67"/>
      <c r="J11" s="67"/>
      <c r="K11" s="67"/>
      <c r="L11" s="67"/>
    </row>
    <row r="12" spans="1:22">
      <c r="B12" s="5" t="s">
        <v>24</v>
      </c>
      <c r="C12" s="1"/>
      <c r="E12" s="155" t="s">
        <v>118</v>
      </c>
      <c r="F12" s="67"/>
      <c r="G12" s="156">
        <v>20</v>
      </c>
      <c r="H12" s="67"/>
      <c r="I12" s="67"/>
      <c r="J12" s="67"/>
      <c r="K12" s="67"/>
      <c r="L12" s="67"/>
    </row>
    <row r="13" spans="1:22">
      <c r="B13" s="126" t="s">
        <v>143</v>
      </c>
      <c r="C13" s="63"/>
      <c r="E13" s="155" t="s">
        <v>126</v>
      </c>
      <c r="F13" s="67"/>
      <c r="G13" s="157">
        <v>42000</v>
      </c>
      <c r="H13" s="67"/>
      <c r="I13" s="67"/>
      <c r="J13" s="67"/>
      <c r="K13" s="67"/>
      <c r="L13" s="67"/>
    </row>
    <row r="14" spans="1:22" ht="13.5" thickBot="1">
      <c r="B14" s="127" t="s">
        <v>144</v>
      </c>
      <c r="C14" s="64"/>
      <c r="E14" s="155" t="s">
        <v>120</v>
      </c>
      <c r="F14" s="67"/>
      <c r="G14" s="156">
        <v>12</v>
      </c>
      <c r="H14" s="67"/>
      <c r="I14" s="67"/>
      <c r="J14" s="67"/>
      <c r="K14" s="67"/>
      <c r="L14" s="67"/>
    </row>
    <row r="15" spans="1:22" ht="13.5" thickTop="1">
      <c r="B15" s="133" t="s">
        <v>127</v>
      </c>
      <c r="C15" s="65"/>
      <c r="E15" s="67"/>
      <c r="F15" s="67"/>
      <c r="G15" s="67"/>
      <c r="H15" s="67"/>
      <c r="I15" s="67"/>
      <c r="J15" s="67"/>
      <c r="K15" s="67"/>
      <c r="L15" s="67"/>
    </row>
    <row r="16" spans="1:22">
      <c r="B16" s="126" t="s">
        <v>128</v>
      </c>
      <c r="C16" s="66"/>
      <c r="E16" s="67"/>
      <c r="F16" s="67"/>
      <c r="G16" s="67"/>
      <c r="H16" s="67"/>
      <c r="I16" s="67"/>
      <c r="J16" s="67"/>
      <c r="K16" s="67"/>
      <c r="L16" s="67"/>
    </row>
    <row r="17" spans="2:12">
      <c r="E17" s="67"/>
      <c r="F17" s="67"/>
      <c r="G17" s="67"/>
      <c r="H17" s="67"/>
      <c r="I17" s="67"/>
      <c r="J17" s="67"/>
      <c r="K17" s="67"/>
      <c r="L17" s="67"/>
    </row>
    <row r="18" spans="2:12" ht="12.75" customHeight="1">
      <c r="B18" s="5" t="s">
        <v>111</v>
      </c>
      <c r="C18" s="1"/>
      <c r="E18" s="68" t="s">
        <v>85</v>
      </c>
      <c r="F18" s="67"/>
      <c r="G18" s="67"/>
      <c r="H18" s="67"/>
      <c r="I18" s="67"/>
      <c r="J18" s="67"/>
      <c r="K18" s="67"/>
      <c r="L18" s="67"/>
    </row>
    <row r="19" spans="2:12">
      <c r="B19" s="126" t="s">
        <v>129</v>
      </c>
      <c r="C19" s="72"/>
      <c r="E19" s="155" t="s">
        <v>235</v>
      </c>
      <c r="F19" s="67"/>
      <c r="G19" s="67"/>
      <c r="H19" s="67"/>
      <c r="I19" s="67"/>
      <c r="J19" s="67"/>
      <c r="K19" s="67"/>
      <c r="L19" s="67"/>
    </row>
    <row r="20" spans="2:12">
      <c r="B20" s="126" t="s">
        <v>130</v>
      </c>
      <c r="C20" s="72"/>
      <c r="E20" s="155" t="s">
        <v>236</v>
      </c>
      <c r="F20" s="67"/>
      <c r="G20" s="67"/>
      <c r="H20" s="67"/>
      <c r="I20" s="67"/>
      <c r="J20" s="67"/>
      <c r="K20" s="67"/>
      <c r="L20" s="67"/>
    </row>
    <row r="21" spans="2:12" ht="13.5" thickBot="1">
      <c r="B21" s="127" t="s">
        <v>131</v>
      </c>
      <c r="C21" s="48"/>
      <c r="E21" s="155" t="s">
        <v>237</v>
      </c>
      <c r="F21" s="67"/>
      <c r="G21" s="67"/>
      <c r="H21" s="67"/>
      <c r="I21" s="67"/>
      <c r="J21" s="67"/>
      <c r="K21" s="67"/>
      <c r="L21" s="67"/>
    </row>
    <row r="22" spans="2:12" ht="13.5" thickTop="1">
      <c r="B22" s="133" t="s">
        <v>132</v>
      </c>
      <c r="C22" s="47"/>
      <c r="E22" s="67"/>
      <c r="F22" s="67"/>
      <c r="G22" s="67"/>
      <c r="H22" s="67"/>
      <c r="I22" s="67"/>
      <c r="J22" s="67"/>
      <c r="K22" s="67"/>
      <c r="L22" s="67"/>
    </row>
    <row r="23" spans="2:12">
      <c r="B23" s="126" t="s">
        <v>133</v>
      </c>
      <c r="C23" s="11"/>
      <c r="E23" t="s">
        <v>90</v>
      </c>
      <c r="F23" s="67"/>
      <c r="G23" s="67"/>
      <c r="H23" s="67"/>
      <c r="I23" s="67"/>
      <c r="J23" s="67"/>
      <c r="K23" s="67"/>
      <c r="L23" s="67"/>
    </row>
    <row r="24" spans="2:12" ht="13.5" thickBot="1">
      <c r="B24" s="127" t="s">
        <v>134</v>
      </c>
      <c r="C24" s="48"/>
      <c r="F24" s="67"/>
      <c r="G24" s="67"/>
      <c r="H24" s="67"/>
      <c r="I24" s="67"/>
      <c r="J24" s="67"/>
      <c r="K24" s="67"/>
      <c r="L24" s="67"/>
    </row>
    <row r="25" spans="2:12" ht="13.5" thickTop="1">
      <c r="B25" s="126" t="s">
        <v>135</v>
      </c>
      <c r="C25" s="11"/>
      <c r="E25" s="70"/>
      <c r="F25" s="67"/>
      <c r="G25" s="67"/>
      <c r="H25" s="67"/>
      <c r="I25" s="67"/>
      <c r="J25" s="67"/>
      <c r="K25" s="67"/>
      <c r="L25" s="67"/>
    </row>
    <row r="26" spans="2:12">
      <c r="B26" s="126" t="s">
        <v>136</v>
      </c>
      <c r="C26" s="11"/>
      <c r="E26" s="67"/>
      <c r="F26" s="67"/>
      <c r="G26" s="67"/>
      <c r="H26" s="67"/>
      <c r="I26" s="67"/>
      <c r="J26" s="67"/>
      <c r="K26" s="67"/>
      <c r="L26" s="67"/>
    </row>
    <row r="27" spans="2:12">
      <c r="B27" s="17" t="s">
        <v>29</v>
      </c>
      <c r="C27" s="18"/>
      <c r="E27" s="70"/>
      <c r="F27" s="67"/>
      <c r="G27" s="67"/>
      <c r="H27" s="67"/>
      <c r="I27" s="67"/>
      <c r="J27" s="67"/>
      <c r="K27" s="67"/>
      <c r="L27" s="67"/>
    </row>
    <row r="28" spans="2:12">
      <c r="B28" s="126" t="s">
        <v>145</v>
      </c>
      <c r="C28" s="66"/>
    </row>
  </sheetData>
  <customSheetViews>
    <customSheetView guid="{18D261E6-8F6E-4DCF-A3D9-294C7EF5648B}" showPageBreaks="1" showRuler="0">
      <selection activeCell="K23" sqref="K23"/>
      <colBreaks count="3" manualBreakCount="3">
        <brk id="13" max="1048575" man="1"/>
        <brk id="25" max="1048575" man="1"/>
        <brk id="36" max="1048575" man="1"/>
      </colBreaks>
      <pageMargins left="0.75" right="0.75" top="1" bottom="1" header="0.5" footer="0.5"/>
      <pageSetup paperSize="9" orientation="landscape" r:id="rId1"/>
      <headerFooter alignWithMargins="0">
        <oddFooter>&amp;LLeongTY&amp;R&amp;F/&amp;A</oddFooter>
      </headerFooter>
    </customSheetView>
    <customSheetView guid="{41690409-2766-4911-B71D-0C470EB1EC9C}" showPageBreaks="1" showRuler="0">
      <selection activeCell="K23" sqref="K23"/>
      <colBreaks count="3" manualBreakCount="3">
        <brk id="13" max="1048575" man="1"/>
        <brk id="25" max="1048575" man="1"/>
        <brk id="36" max="1048575" man="1"/>
      </colBreaks>
      <pageMargins left="0.75" right="0.75" top="1" bottom="1" header="0.5" footer="0.5"/>
      <pageSetup paperSize="9" orientation="landscape" r:id="rId2"/>
      <headerFooter alignWithMargins="0">
        <oddFooter>&amp;LLeongTY&amp;R&amp;F/&amp;A</oddFooter>
      </headerFooter>
    </customSheetView>
  </customSheetViews>
  <phoneticPr fontId="8" type="noConversion"/>
  <pageMargins left="0.74803149606299213" right="0.74803149606299213" top="0.74803149606299213" bottom="0.74803149606299213" header="0.31496062992125984" footer="0.31496062992125984"/>
  <pageSetup paperSize="9" orientation="landscape" r:id="rId3"/>
  <headerFooter alignWithMargins="0">
    <oddFooter>&amp;LLeongTY&amp;R&amp;F/&amp;A</oddFooter>
  </headerFooter>
  <colBreaks count="3" manualBreakCount="3">
    <brk id="14" max="1048575" man="1"/>
    <brk id="25" max="1048575" man="1"/>
    <brk id="3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35"/>
  <sheetViews>
    <sheetView showGridLines="0" zoomScale="110" zoomScaleNormal="110" workbookViewId="0"/>
  </sheetViews>
  <sheetFormatPr defaultColWidth="9.140625" defaultRowHeight="12.75"/>
  <cols>
    <col min="1" max="1" width="0.85546875" style="1" customWidth="1"/>
    <col min="2" max="4" width="8.28515625" style="1" customWidth="1"/>
    <col min="5" max="5" width="2.7109375" style="1" customWidth="1"/>
    <col min="6" max="12" width="8.28515625" style="1" customWidth="1"/>
    <col min="13" max="14" width="0.85546875" style="1" customWidth="1"/>
    <col min="15" max="16384" width="9.140625" style="1"/>
  </cols>
  <sheetData>
    <row r="1" spans="1:15" ht="15.75">
      <c r="B1" s="9" t="s">
        <v>9</v>
      </c>
      <c r="L1" s="53" t="s">
        <v>97</v>
      </c>
    </row>
    <row r="2" spans="1:15">
      <c r="A2" s="97"/>
    </row>
    <row r="3" spans="1:15">
      <c r="B3" s="10" t="s">
        <v>38</v>
      </c>
      <c r="C3" s="14"/>
      <c r="D3" s="14"/>
      <c r="E3" s="14"/>
      <c r="F3" s="14"/>
      <c r="G3" s="14"/>
      <c r="H3" s="14"/>
      <c r="I3" s="14"/>
      <c r="J3" s="14"/>
      <c r="K3" s="14"/>
      <c r="L3" s="14"/>
      <c r="O3" s="41" t="s">
        <v>85</v>
      </c>
    </row>
    <row r="4" spans="1:15">
      <c r="B4" s="2" t="s">
        <v>88</v>
      </c>
      <c r="C4" s="14"/>
      <c r="D4" s="14"/>
      <c r="E4" s="14"/>
      <c r="F4" s="14"/>
      <c r="G4" s="14"/>
      <c r="H4" s="14"/>
      <c r="I4" s="14"/>
      <c r="J4" s="14"/>
      <c r="K4" s="14"/>
      <c r="L4" s="14"/>
      <c r="O4" s="2" t="s">
        <v>82</v>
      </c>
    </row>
    <row r="5" spans="1:15">
      <c r="B5" s="13" t="s">
        <v>89</v>
      </c>
      <c r="C5" s="14"/>
      <c r="D5" s="14"/>
      <c r="E5" s="14"/>
      <c r="F5" s="14"/>
      <c r="G5" s="14"/>
      <c r="H5" s="14"/>
      <c r="I5" s="14"/>
      <c r="J5" s="14"/>
      <c r="K5" s="14"/>
      <c r="L5" s="14"/>
      <c r="O5" s="2" t="s">
        <v>83</v>
      </c>
    </row>
    <row r="6" spans="1:15">
      <c r="B6" s="13" t="s">
        <v>112</v>
      </c>
      <c r="C6" s="14"/>
      <c r="D6" s="14"/>
      <c r="E6" s="14"/>
      <c r="F6" s="14"/>
      <c r="G6" s="14"/>
      <c r="H6" s="14"/>
      <c r="I6" s="14"/>
      <c r="J6" s="14"/>
      <c r="K6" s="14"/>
      <c r="L6" s="14"/>
      <c r="O6" s="2" t="s">
        <v>84</v>
      </c>
    </row>
    <row r="7" spans="1:15">
      <c r="E7" s="78"/>
    </row>
    <row r="8" spans="1:15" ht="51">
      <c r="B8" s="125" t="s">
        <v>113</v>
      </c>
      <c r="C8" s="12" t="s">
        <v>40</v>
      </c>
      <c r="D8" s="12" t="s">
        <v>40</v>
      </c>
      <c r="O8" s="2"/>
    </row>
    <row r="9" spans="1:15">
      <c r="B9" s="158">
        <v>0</v>
      </c>
      <c r="C9" s="159">
        <v>10</v>
      </c>
      <c r="D9" s="159">
        <v>10</v>
      </c>
    </row>
    <row r="10" spans="1:15">
      <c r="B10" s="158">
        <v>10</v>
      </c>
      <c r="C10" s="159"/>
      <c r="D10" s="159">
        <v>9.4</v>
      </c>
    </row>
    <row r="11" spans="1:15">
      <c r="B11" s="158">
        <v>20</v>
      </c>
      <c r="C11" s="159"/>
      <c r="D11" s="159">
        <v>8.8000000000000007</v>
      </c>
    </row>
    <row r="12" spans="1:15">
      <c r="B12" s="158">
        <v>30</v>
      </c>
      <c r="C12" s="159"/>
      <c r="D12" s="159">
        <v>8.1999999999999993</v>
      </c>
      <c r="E12" s="77"/>
    </row>
    <row r="13" spans="1:15">
      <c r="B13" s="158">
        <v>40</v>
      </c>
      <c r="C13" s="159"/>
      <c r="D13" s="159">
        <v>7.6</v>
      </c>
      <c r="E13" s="77"/>
    </row>
    <row r="14" spans="1:15">
      <c r="B14" s="158">
        <v>50</v>
      </c>
      <c r="C14" s="159"/>
      <c r="D14" s="159">
        <v>7</v>
      </c>
      <c r="E14" s="77"/>
    </row>
    <row r="15" spans="1:15">
      <c r="B15" s="158">
        <v>60</v>
      </c>
      <c r="C15" s="159"/>
      <c r="D15" s="159">
        <v>6.4</v>
      </c>
      <c r="E15" s="77"/>
    </row>
    <row r="16" spans="1:15">
      <c r="B16" s="158">
        <v>70</v>
      </c>
      <c r="C16" s="159"/>
      <c r="D16" s="159">
        <v>5.8</v>
      </c>
      <c r="E16" s="77"/>
    </row>
    <row r="17" spans="2:5">
      <c r="B17" s="158">
        <v>80</v>
      </c>
      <c r="C17" s="159"/>
      <c r="D17" s="159">
        <v>5.2</v>
      </c>
      <c r="E17" s="77"/>
    </row>
    <row r="18" spans="2:5">
      <c r="B18" s="158">
        <v>90</v>
      </c>
      <c r="C18" s="159"/>
      <c r="D18" s="159">
        <v>4.5999999999999996</v>
      </c>
      <c r="E18" s="77"/>
    </row>
    <row r="19" spans="2:5">
      <c r="B19" s="158">
        <v>100</v>
      </c>
      <c r="C19" s="159"/>
      <c r="D19" s="159">
        <v>4</v>
      </c>
      <c r="E19" s="77"/>
    </row>
    <row r="20" spans="2:5">
      <c r="B20" s="158">
        <v>150</v>
      </c>
      <c r="C20" s="159"/>
      <c r="D20" s="159">
        <v>2.2000000000000002</v>
      </c>
    </row>
    <row r="21" spans="2:5">
      <c r="B21" s="158">
        <v>200</v>
      </c>
      <c r="C21" s="159"/>
      <c r="D21" s="159">
        <v>0.7</v>
      </c>
    </row>
    <row r="22" spans="2:5">
      <c r="B22" s="158">
        <v>250</v>
      </c>
      <c r="C22" s="159">
        <v>0</v>
      </c>
      <c r="D22" s="159">
        <v>0</v>
      </c>
    </row>
    <row r="23" spans="2:5">
      <c r="B23" s="3"/>
      <c r="C23" s="4"/>
      <c r="D23" s="4"/>
    </row>
    <row r="24" spans="2:5">
      <c r="B24" s="3"/>
      <c r="C24" s="4"/>
      <c r="D24" s="4"/>
    </row>
    <row r="25" spans="2:5">
      <c r="B25" s="3"/>
      <c r="C25" s="6"/>
      <c r="D25" s="6"/>
    </row>
    <row r="26" spans="2:5">
      <c r="B26" s="3"/>
      <c r="C26" s="4"/>
      <c r="D26" s="4"/>
    </row>
    <row r="27" spans="2:5">
      <c r="B27" s="3"/>
    </row>
    <row r="35" spans="2:2">
      <c r="B35" s="2"/>
    </row>
  </sheetData>
  <customSheetViews>
    <customSheetView guid="{18D261E6-8F6E-4DCF-A3D9-294C7EF5648B}" showPageBreaks="1" showGridLines="0" showRuler="0">
      <selection activeCell="K23" sqref="K23"/>
      <colBreaks count="4" manualBreakCount="4">
        <brk id="11" max="1048575" man="1"/>
        <brk id="12" max="1048575" man="1"/>
        <brk id="23" max="1048575" man="1"/>
        <brk id="33" max="1048575" man="1"/>
      </colBreaks>
      <pageMargins left="0.75" right="0.75" top="1" bottom="1" header="0.5" footer="0.5"/>
      <pageSetup orientation="portrait" r:id="rId1"/>
      <headerFooter alignWithMargins="0">
        <oddFooter>&amp;LLeongTY&amp;R&amp;F/&amp;A</oddFooter>
      </headerFooter>
    </customSheetView>
    <customSheetView guid="{41690409-2766-4911-B71D-0C470EB1EC9C}" showPageBreaks="1" showGridLines="0" showRuler="0">
      <selection activeCell="K23" sqref="K23"/>
      <colBreaks count="3" manualBreakCount="3">
        <brk id="12" max="1048575" man="1"/>
        <brk id="22" max="1048575" man="1"/>
        <brk id="31" max="1048575" man="1"/>
      </colBreaks>
      <pageMargins left="0.75" right="0.75" top="1" bottom="1" header="0.5" footer="0.5"/>
      <pageSetup orientation="portrait" r:id="rId2"/>
      <headerFooter alignWithMargins="0">
        <oddFooter>&amp;LLeongTY&amp;R&amp;F/&amp;A</oddFooter>
      </headerFooter>
    </customSheetView>
  </customSheetViews>
  <phoneticPr fontId="8" type="noConversion"/>
  <conditionalFormatting sqref="B9:C22">
    <cfRule type="cellIs" dxfId="14" priority="1" stopIfTrue="1" operator="equal">
      <formula>""</formula>
    </cfRule>
  </conditionalFormatting>
  <pageMargins left="0.74803149606299213" right="0.74803149606299213" top="0.74803149606299213" bottom="0.74803149606299213" header="0.31496062992125984" footer="0.31496062992125984"/>
  <pageSetup paperSize="9" orientation="portrait" r:id="rId3"/>
  <headerFooter alignWithMargins="0">
    <oddFooter>&amp;LLeongTY&amp;R&amp;F/&amp;A</oddFooter>
  </headerFooter>
  <colBreaks count="3" manualBreakCount="3">
    <brk id="13" max="1048575" man="1"/>
    <brk id="22" max="1048575" man="1"/>
    <brk id="31" max="1048575" man="1"/>
  </colBreaks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W33"/>
  <sheetViews>
    <sheetView showGridLines="0" zoomScale="110" zoomScaleNormal="110" workbookViewId="0"/>
  </sheetViews>
  <sheetFormatPr defaultRowHeight="12.75"/>
  <cols>
    <col min="1" max="1" width="0.85546875" customWidth="1"/>
    <col min="2" max="2" width="30.7109375" customWidth="1"/>
    <col min="13" max="14" width="0.85546875" customWidth="1"/>
    <col min="37" max="38" width="0.85546875" customWidth="1"/>
  </cols>
  <sheetData>
    <row r="1" spans="1:23" ht="15.75">
      <c r="B1" s="54" t="s">
        <v>44</v>
      </c>
      <c r="C1" s="53"/>
      <c r="L1" s="102" t="s">
        <v>234</v>
      </c>
    </row>
    <row r="2" spans="1:23" s="42" customFormat="1" ht="12.75" customHeight="1">
      <c r="A2" s="98"/>
      <c r="B2" s="49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</row>
    <row r="3" spans="1:23">
      <c r="B3" s="10" t="s">
        <v>150</v>
      </c>
    </row>
    <row r="4" spans="1:23">
      <c r="B4" s="5" t="s">
        <v>11</v>
      </c>
      <c r="C4" s="1"/>
    </row>
    <row r="5" spans="1:23" ht="12.75" customHeight="1">
      <c r="B5" s="126" t="s">
        <v>137</v>
      </c>
      <c r="C5" s="36">
        <v>60</v>
      </c>
    </row>
    <row r="6" spans="1:23">
      <c r="B6" s="126" t="s">
        <v>138</v>
      </c>
      <c r="C6" s="36">
        <v>20</v>
      </c>
    </row>
    <row r="7" spans="1:23">
      <c r="B7" s="1"/>
      <c r="C7" s="1"/>
    </row>
    <row r="8" spans="1:23">
      <c r="B8" s="5" t="s">
        <v>13</v>
      </c>
      <c r="C8" s="1"/>
    </row>
    <row r="9" spans="1:23">
      <c r="B9" s="126" t="s">
        <v>139</v>
      </c>
      <c r="C9" s="34">
        <v>55</v>
      </c>
    </row>
    <row r="10" spans="1:23" ht="12.75" customHeight="1">
      <c r="B10" s="130" t="s">
        <v>140</v>
      </c>
      <c r="C10" s="73">
        <v>12</v>
      </c>
    </row>
    <row r="11" spans="1:23" ht="12.75" customHeight="1" thickBot="1">
      <c r="B11" s="127" t="s">
        <v>141</v>
      </c>
      <c r="C11" s="43"/>
    </row>
    <row r="12" spans="1:23" ht="13.5" thickTop="1">
      <c r="B12" s="131" t="s">
        <v>142</v>
      </c>
      <c r="C12" s="74">
        <v>0.67</v>
      </c>
    </row>
    <row r="13" spans="1:23" ht="13.5" thickBot="1">
      <c r="B13" s="132" t="s">
        <v>149</v>
      </c>
      <c r="C13" s="46">
        <v>6</v>
      </c>
    </row>
    <row r="14" spans="1:23" ht="13.5" thickTop="1">
      <c r="B14" s="44" t="s">
        <v>23</v>
      </c>
      <c r="C14" s="45">
        <v>10</v>
      </c>
    </row>
    <row r="15" spans="1:23">
      <c r="B15" s="17" t="s">
        <v>39</v>
      </c>
      <c r="C15" s="40">
        <v>-0.06</v>
      </c>
    </row>
    <row r="17" spans="2:3">
      <c r="B17" s="5" t="s">
        <v>24</v>
      </c>
      <c r="C17" s="1"/>
    </row>
    <row r="18" spans="2:3">
      <c r="B18" s="126" t="s">
        <v>143</v>
      </c>
      <c r="C18" s="63"/>
    </row>
    <row r="19" spans="2:3" ht="13.5" thickBot="1">
      <c r="B19" s="127" t="s">
        <v>144</v>
      </c>
      <c r="C19" s="64"/>
    </row>
    <row r="20" spans="2:3" ht="13.5" thickTop="1">
      <c r="B20" s="133" t="s">
        <v>127</v>
      </c>
      <c r="C20" s="65">
        <f>(C5-$C9)/$C9</f>
        <v>9.0909090909090912E-2</v>
      </c>
    </row>
    <row r="21" spans="2:3">
      <c r="B21" s="126" t="s">
        <v>128</v>
      </c>
      <c r="C21" s="66">
        <f>(C6-$C10)/$C10</f>
        <v>0.66666666666666663</v>
      </c>
    </row>
    <row r="23" spans="2:3" ht="12.75" customHeight="1">
      <c r="B23" s="5" t="s">
        <v>111</v>
      </c>
      <c r="C23" s="1"/>
    </row>
    <row r="24" spans="2:3">
      <c r="B24" s="126" t="s">
        <v>129</v>
      </c>
      <c r="C24" s="72"/>
    </row>
    <row r="25" spans="2:3">
      <c r="B25" s="126" t="s">
        <v>130</v>
      </c>
      <c r="C25" s="72"/>
    </row>
    <row r="26" spans="2:3" ht="13.5" thickBot="1">
      <c r="B26" s="127" t="s">
        <v>131</v>
      </c>
      <c r="C26" s="48"/>
    </row>
    <row r="27" spans="2:3" ht="13.5" thickTop="1">
      <c r="B27" s="133" t="s">
        <v>132</v>
      </c>
      <c r="C27" s="47"/>
    </row>
    <row r="28" spans="2:3">
      <c r="B28" s="126" t="s">
        <v>133</v>
      </c>
      <c r="C28" s="11"/>
    </row>
    <row r="29" spans="2:3" ht="13.5" thickBot="1">
      <c r="B29" s="127" t="s">
        <v>134</v>
      </c>
      <c r="C29" s="48"/>
    </row>
    <row r="30" spans="2:3" ht="13.5" thickTop="1">
      <c r="B30" s="126" t="s">
        <v>135</v>
      </c>
      <c r="C30" s="11"/>
    </row>
    <row r="31" spans="2:3">
      <c r="B31" s="126" t="s">
        <v>136</v>
      </c>
      <c r="C31" s="11"/>
    </row>
    <row r="32" spans="2:3">
      <c r="B32" s="17" t="s">
        <v>29</v>
      </c>
      <c r="C32" s="18"/>
    </row>
    <row r="33" spans="2:3">
      <c r="B33" s="126" t="s">
        <v>145</v>
      </c>
      <c r="C33" s="66"/>
    </row>
  </sheetData>
  <customSheetViews>
    <customSheetView guid="{18D261E6-8F6E-4DCF-A3D9-294C7EF5648B}" showPageBreaks="1" showRuler="0">
      <selection activeCell="K23" sqref="K23"/>
      <colBreaks count="3" manualBreakCount="3">
        <brk id="13" max="1048575" man="1"/>
        <brk id="25" max="1048575" man="1"/>
        <brk id="36" max="1048575" man="1"/>
      </colBreaks>
      <pageMargins left="0.75" right="0.75" top="1" bottom="1" header="0.5" footer="0.5"/>
      <pageSetup paperSize="9" orientation="landscape" r:id="rId1"/>
      <headerFooter alignWithMargins="0">
        <oddFooter>&amp;LLeongTY&amp;R&amp;F/&amp;A</oddFooter>
      </headerFooter>
    </customSheetView>
    <customSheetView guid="{41690409-2766-4911-B71D-0C470EB1EC9C}" showPageBreaks="1" showRuler="0">
      <selection activeCell="K23" sqref="K23"/>
      <colBreaks count="3" manualBreakCount="3">
        <brk id="12" max="1048575" man="1"/>
        <brk id="25" max="1048575" man="1"/>
        <brk id="36" max="1048575" man="1"/>
      </colBreaks>
      <pageMargins left="0.75" right="0.75" top="1" bottom="1" header="0.5" footer="0.5"/>
      <pageSetup paperSize="9" orientation="landscape" r:id="rId2"/>
      <headerFooter alignWithMargins="0">
        <oddFooter>&amp;LLeongTY&amp;R&amp;F/&amp;A</oddFooter>
      </headerFooter>
    </customSheetView>
  </customSheetViews>
  <phoneticPr fontId="8" type="noConversion"/>
  <pageMargins left="0.74803149606299213" right="0.74803149606299213" top="0.74803149606299213" bottom="0.74803149606299213" header="0.31496062992125984" footer="0.31496062992125984"/>
  <pageSetup paperSize="9" orientation="landscape" r:id="rId3"/>
  <headerFooter alignWithMargins="0">
    <oddFooter>&amp;LLeongTY&amp;R&amp;F/&amp;A</oddFooter>
  </headerFooter>
  <colBreaks count="3" manualBreakCount="3">
    <brk id="13" max="1048575" man="1"/>
    <brk id="26" max="1048575" man="1"/>
    <brk id="37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indexed="43"/>
  </sheetPr>
  <dimension ref="A1:X33"/>
  <sheetViews>
    <sheetView showGridLines="0" zoomScale="110" zoomScaleNormal="110" workbookViewId="0">
      <pane xSplit="3" ySplit="7" topLeftCell="D8" activePane="bottomRight" state="frozen"/>
      <selection pane="topRight"/>
      <selection pane="bottomLeft"/>
      <selection pane="bottomRight"/>
    </sheetView>
  </sheetViews>
  <sheetFormatPr defaultRowHeight="12.75"/>
  <cols>
    <col min="1" max="1" width="0.85546875" customWidth="1"/>
    <col min="2" max="2" width="30.7109375" customWidth="1"/>
    <col min="3" max="14" width="8.28515625" customWidth="1"/>
    <col min="15" max="16" width="0.85546875" customWidth="1"/>
    <col min="17" max="17" width="25" customWidth="1"/>
    <col min="18" max="18" width="7" customWidth="1"/>
    <col min="25" max="26" width="0.85546875" customWidth="1"/>
    <col min="36" max="37" width="0.85546875" customWidth="1"/>
  </cols>
  <sheetData>
    <row r="1" spans="1:24" ht="15.75">
      <c r="B1" s="54" t="s">
        <v>44</v>
      </c>
      <c r="C1" s="53"/>
      <c r="N1" s="102" t="s">
        <v>234</v>
      </c>
      <c r="X1" s="53"/>
    </row>
    <row r="2" spans="1:24" s="52" customFormat="1" ht="12.75" customHeight="1">
      <c r="A2" s="98"/>
      <c r="B2" s="49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X2" s="104" t="s">
        <v>109</v>
      </c>
    </row>
    <row r="3" spans="1:24">
      <c r="B3" s="10" t="s">
        <v>150</v>
      </c>
      <c r="D3" s="10" t="s">
        <v>78</v>
      </c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</row>
    <row r="4" spans="1:24">
      <c r="B4" s="5" t="s">
        <v>11</v>
      </c>
      <c r="C4" s="1"/>
      <c r="O4" s="50"/>
      <c r="P4" s="50"/>
      <c r="Q4" s="51" t="s">
        <v>45</v>
      </c>
    </row>
    <row r="5" spans="1:24" ht="12.75" customHeight="1">
      <c r="B5" s="126" t="s">
        <v>137</v>
      </c>
      <c r="C5" s="107">
        <v>30</v>
      </c>
      <c r="D5" s="107">
        <v>40</v>
      </c>
      <c r="E5" s="107">
        <v>50</v>
      </c>
      <c r="F5" s="107">
        <v>60</v>
      </c>
      <c r="G5" s="107">
        <v>70</v>
      </c>
      <c r="H5" s="107">
        <v>80</v>
      </c>
      <c r="I5" s="107">
        <v>90</v>
      </c>
      <c r="J5" s="107">
        <v>100</v>
      </c>
      <c r="K5" s="107">
        <v>110</v>
      </c>
      <c r="L5" s="107">
        <v>120</v>
      </c>
      <c r="M5" s="107">
        <v>130</v>
      </c>
      <c r="N5" s="107">
        <v>140</v>
      </c>
      <c r="O5" s="50"/>
      <c r="P5" s="50"/>
      <c r="Q5" s="128" t="s">
        <v>117</v>
      </c>
      <c r="R5" s="1" t="s">
        <v>98</v>
      </c>
      <c r="S5" t="s">
        <v>239</v>
      </c>
    </row>
    <row r="6" spans="1:24">
      <c r="B6" s="126" t="s">
        <v>138</v>
      </c>
      <c r="C6" s="107">
        <v>20.100000000000001</v>
      </c>
      <c r="D6" s="107">
        <v>26.8</v>
      </c>
      <c r="E6" s="107">
        <v>33.5</v>
      </c>
      <c r="F6" s="107">
        <v>40.200000000000003</v>
      </c>
      <c r="G6" s="107">
        <v>46.9</v>
      </c>
      <c r="H6" s="107">
        <v>53.6</v>
      </c>
      <c r="I6" s="107">
        <v>60.3</v>
      </c>
      <c r="J6" s="107">
        <v>67</v>
      </c>
      <c r="K6" s="107">
        <v>73.7</v>
      </c>
      <c r="L6" s="107">
        <v>80.400000000000006</v>
      </c>
      <c r="M6" s="107">
        <v>87.1</v>
      </c>
      <c r="N6" s="107">
        <v>93.8</v>
      </c>
      <c r="O6" s="50"/>
      <c r="P6" s="50"/>
      <c r="Q6" s="128" t="s">
        <v>118</v>
      </c>
      <c r="R6" s="1" t="s">
        <v>46</v>
      </c>
      <c r="S6" t="s">
        <v>239</v>
      </c>
    </row>
    <row r="7" spans="1:24">
      <c r="B7" s="1"/>
      <c r="C7" s="1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</row>
    <row r="8" spans="1:24">
      <c r="B8" s="5" t="s">
        <v>13</v>
      </c>
      <c r="C8" s="1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</row>
    <row r="9" spans="1:24">
      <c r="B9" s="126" t="s">
        <v>139</v>
      </c>
      <c r="C9" s="108">
        <v>55</v>
      </c>
      <c r="D9" s="160" t="s">
        <v>38</v>
      </c>
      <c r="E9" s="161"/>
      <c r="F9" s="162"/>
      <c r="G9" s="162"/>
      <c r="H9" s="162"/>
      <c r="I9" s="162"/>
      <c r="J9" s="162"/>
      <c r="K9" s="162"/>
      <c r="L9" s="162"/>
      <c r="M9" s="162"/>
      <c r="N9" s="163"/>
      <c r="O9" s="50"/>
      <c r="P9" s="50"/>
      <c r="Q9" s="128" t="s">
        <v>119</v>
      </c>
      <c r="R9" s="1" t="s">
        <v>99</v>
      </c>
      <c r="S9" t="s">
        <v>239</v>
      </c>
    </row>
    <row r="10" spans="1:24" ht="12.75" customHeight="1">
      <c r="B10" s="130" t="s">
        <v>140</v>
      </c>
      <c r="C10" s="109">
        <v>12</v>
      </c>
      <c r="D10" s="164" t="s">
        <v>116</v>
      </c>
      <c r="F10" s="50"/>
      <c r="G10" s="50"/>
      <c r="H10" s="50"/>
      <c r="I10" s="50"/>
      <c r="J10" s="50"/>
      <c r="K10" s="50"/>
      <c r="L10" s="50"/>
      <c r="M10" s="50"/>
      <c r="N10" s="165"/>
      <c r="O10" s="50"/>
      <c r="P10" s="50"/>
      <c r="Q10" s="128" t="s">
        <v>120</v>
      </c>
      <c r="R10" s="1" t="s">
        <v>47</v>
      </c>
      <c r="S10" t="s">
        <v>239</v>
      </c>
    </row>
    <row r="11" spans="1:24" ht="12.75" customHeight="1" thickBot="1">
      <c r="B11" s="127" t="s">
        <v>141</v>
      </c>
      <c r="C11" s="110">
        <v>70</v>
      </c>
      <c r="D11" s="166" t="s">
        <v>41</v>
      </c>
      <c r="F11" s="50"/>
      <c r="G11" s="50"/>
      <c r="H11" s="50"/>
      <c r="I11" s="50"/>
      <c r="J11" s="50"/>
      <c r="K11" s="50"/>
      <c r="L11" s="50"/>
      <c r="M11" s="50"/>
      <c r="N11" s="165"/>
      <c r="O11" s="50"/>
      <c r="P11" s="50"/>
      <c r="Q11" s="128" t="s">
        <v>121</v>
      </c>
      <c r="R11" s="1" t="s">
        <v>48</v>
      </c>
      <c r="S11" t="s">
        <v>239</v>
      </c>
    </row>
    <row r="12" spans="1:24" ht="13.5" thickTop="1">
      <c r="B12" s="131" t="s">
        <v>142</v>
      </c>
      <c r="C12" s="111">
        <v>0.67</v>
      </c>
      <c r="D12" s="166" t="s">
        <v>42</v>
      </c>
      <c r="G12" s="1"/>
      <c r="H12" s="1"/>
      <c r="I12" s="1"/>
      <c r="J12" s="1"/>
      <c r="K12" s="1"/>
      <c r="L12" s="1"/>
      <c r="M12" s="1"/>
      <c r="N12" s="167"/>
      <c r="O12" s="1"/>
      <c r="P12" s="1"/>
      <c r="Q12" s="128" t="s">
        <v>122</v>
      </c>
      <c r="R12" s="1" t="s">
        <v>49</v>
      </c>
      <c r="S12" t="s">
        <v>239</v>
      </c>
    </row>
    <row r="13" spans="1:24" ht="13.5" thickBot="1">
      <c r="B13" s="132" t="s">
        <v>149</v>
      </c>
      <c r="C13" s="112">
        <v>6</v>
      </c>
      <c r="D13" s="173"/>
      <c r="E13" s="174"/>
      <c r="F13" s="174"/>
      <c r="G13" s="174"/>
      <c r="H13" s="174"/>
      <c r="I13" s="174"/>
      <c r="J13" s="174"/>
      <c r="K13" s="174"/>
      <c r="L13" s="174"/>
      <c r="M13" s="174"/>
      <c r="N13" s="175"/>
      <c r="Q13" s="128" t="s">
        <v>123</v>
      </c>
      <c r="R13" s="1" t="s">
        <v>50</v>
      </c>
      <c r="S13" t="s">
        <v>239</v>
      </c>
    </row>
    <row r="14" spans="1:24" ht="13.5" thickTop="1">
      <c r="B14" s="44" t="s">
        <v>23</v>
      </c>
      <c r="C14" s="113">
        <v>10</v>
      </c>
      <c r="D14" s="168"/>
      <c r="N14" s="169"/>
      <c r="Q14" s="128" t="s">
        <v>124</v>
      </c>
      <c r="R14" s="1" t="s">
        <v>51</v>
      </c>
      <c r="S14" t="s">
        <v>239</v>
      </c>
    </row>
    <row r="15" spans="1:24">
      <c r="B15" s="17" t="s">
        <v>39</v>
      </c>
      <c r="C15" s="114">
        <v>-0.06</v>
      </c>
      <c r="D15" s="170"/>
      <c r="E15" s="171"/>
      <c r="F15" s="171"/>
      <c r="G15" s="171"/>
      <c r="H15" s="171"/>
      <c r="I15" s="171"/>
      <c r="J15" s="171"/>
      <c r="K15" s="171"/>
      <c r="L15" s="171"/>
      <c r="M15" s="171"/>
      <c r="N15" s="172"/>
      <c r="Q15" s="128" t="s">
        <v>33</v>
      </c>
      <c r="R15" s="1" t="s">
        <v>68</v>
      </c>
      <c r="S15" t="s">
        <v>239</v>
      </c>
    </row>
    <row r="17" spans="2:21">
      <c r="B17" s="5" t="s">
        <v>24</v>
      </c>
      <c r="C17" s="1"/>
      <c r="Q17" s="37"/>
      <c r="R17" s="1"/>
      <c r="S17" s="1"/>
    </row>
    <row r="18" spans="2:21">
      <c r="B18" s="126" t="s">
        <v>143</v>
      </c>
      <c r="C18" s="63">
        <f t="shared" ref="C18:N18" si="0">IF(C6&gt;$C12*C5,0,$C14+$C15*C5)</f>
        <v>8.1999999999999993</v>
      </c>
      <c r="D18" s="63">
        <f t="shared" si="0"/>
        <v>7.6</v>
      </c>
      <c r="E18" s="63">
        <f t="shared" si="0"/>
        <v>7</v>
      </c>
      <c r="F18" s="63">
        <f t="shared" si="0"/>
        <v>6.4</v>
      </c>
      <c r="G18" s="63">
        <f t="shared" si="0"/>
        <v>5.8</v>
      </c>
      <c r="H18" s="63">
        <f t="shared" si="0"/>
        <v>5.2</v>
      </c>
      <c r="I18" s="63">
        <f t="shared" si="0"/>
        <v>4.6000000000000005</v>
      </c>
      <c r="J18" s="63">
        <f t="shared" si="0"/>
        <v>4</v>
      </c>
      <c r="K18" s="63">
        <f t="shared" si="0"/>
        <v>3.4000000000000004</v>
      </c>
      <c r="L18" s="63">
        <f t="shared" si="0"/>
        <v>2.8000000000000007</v>
      </c>
      <c r="M18" s="63">
        <f t="shared" si="0"/>
        <v>2.2000000000000002</v>
      </c>
      <c r="N18" s="63">
        <f t="shared" si="0"/>
        <v>1.5999999999999996</v>
      </c>
      <c r="Q18" s="129" t="s">
        <v>125</v>
      </c>
      <c r="R18" s="15" t="s">
        <v>100</v>
      </c>
      <c r="S18" s="13" t="s">
        <v>240</v>
      </c>
      <c r="T18" s="75"/>
      <c r="U18" s="75"/>
    </row>
    <row r="19" spans="2:21" ht="13.5" thickBot="1">
      <c r="B19" s="127" t="s">
        <v>144</v>
      </c>
      <c r="C19" s="64">
        <f t="shared" ref="C19:N19" si="1">$C13*C18</f>
        <v>49.199999999999996</v>
      </c>
      <c r="D19" s="64">
        <f t="shared" si="1"/>
        <v>45.599999999999994</v>
      </c>
      <c r="E19" s="64">
        <f t="shared" si="1"/>
        <v>42</v>
      </c>
      <c r="F19" s="64">
        <f t="shared" si="1"/>
        <v>38.400000000000006</v>
      </c>
      <c r="G19" s="64">
        <f t="shared" si="1"/>
        <v>34.799999999999997</v>
      </c>
      <c r="H19" s="64">
        <f t="shared" si="1"/>
        <v>31.200000000000003</v>
      </c>
      <c r="I19" s="64">
        <f t="shared" si="1"/>
        <v>27.6</v>
      </c>
      <c r="J19" s="64">
        <f t="shared" si="1"/>
        <v>24</v>
      </c>
      <c r="K19" s="64">
        <f t="shared" si="1"/>
        <v>20.400000000000002</v>
      </c>
      <c r="L19" s="64">
        <f t="shared" si="1"/>
        <v>16.800000000000004</v>
      </c>
      <c r="M19" s="64">
        <f t="shared" si="1"/>
        <v>13.200000000000001</v>
      </c>
      <c r="N19" s="64">
        <f t="shared" si="1"/>
        <v>9.5999999999999979</v>
      </c>
      <c r="O19" s="1"/>
      <c r="P19" s="1"/>
      <c r="Q19" s="121" t="s">
        <v>126</v>
      </c>
      <c r="R19" s="15" t="s">
        <v>52</v>
      </c>
      <c r="S19" s="13" t="s">
        <v>241</v>
      </c>
      <c r="T19" s="75"/>
      <c r="U19" s="75"/>
    </row>
    <row r="20" spans="2:21" ht="13.5" thickTop="1">
      <c r="B20" s="133" t="s">
        <v>127</v>
      </c>
      <c r="C20" s="65">
        <f t="shared" ref="C20:N20" si="2">(C5-$C9)/$C9</f>
        <v>-0.45454545454545453</v>
      </c>
      <c r="D20" s="65">
        <f t="shared" si="2"/>
        <v>-0.27272727272727271</v>
      </c>
      <c r="E20" s="65">
        <f t="shared" si="2"/>
        <v>-9.0909090909090912E-2</v>
      </c>
      <c r="F20" s="65">
        <f t="shared" si="2"/>
        <v>9.0909090909090912E-2</v>
      </c>
      <c r="G20" s="65">
        <f t="shared" si="2"/>
        <v>0.27272727272727271</v>
      </c>
      <c r="H20" s="65">
        <f t="shared" si="2"/>
        <v>0.45454545454545453</v>
      </c>
      <c r="I20" s="65">
        <f t="shared" si="2"/>
        <v>0.63636363636363635</v>
      </c>
      <c r="J20" s="65">
        <f t="shared" si="2"/>
        <v>0.81818181818181823</v>
      </c>
      <c r="K20" s="65">
        <f t="shared" si="2"/>
        <v>1</v>
      </c>
      <c r="L20" s="65">
        <f t="shared" si="2"/>
        <v>1.1818181818181819</v>
      </c>
      <c r="M20" s="65">
        <f t="shared" si="2"/>
        <v>1.3636363636363635</v>
      </c>
      <c r="N20" s="65">
        <f t="shared" si="2"/>
        <v>1.5454545454545454</v>
      </c>
      <c r="O20" s="1"/>
      <c r="P20" s="1"/>
      <c r="Q20" s="121" t="s">
        <v>127</v>
      </c>
      <c r="R20" s="15" t="s">
        <v>53</v>
      </c>
      <c r="S20" s="13" t="s">
        <v>242</v>
      </c>
      <c r="T20" s="75"/>
      <c r="U20" s="75"/>
    </row>
    <row r="21" spans="2:21">
      <c r="B21" s="126" t="s">
        <v>128</v>
      </c>
      <c r="C21" s="66">
        <f t="shared" ref="C21:N21" si="3">(C6-$C10)/$C10</f>
        <v>0.67500000000000016</v>
      </c>
      <c r="D21" s="66">
        <f t="shared" si="3"/>
        <v>1.2333333333333334</v>
      </c>
      <c r="E21" s="66">
        <f t="shared" si="3"/>
        <v>1.7916666666666667</v>
      </c>
      <c r="F21" s="66">
        <f t="shared" si="3"/>
        <v>2.35</v>
      </c>
      <c r="G21" s="66">
        <f t="shared" si="3"/>
        <v>2.9083333333333332</v>
      </c>
      <c r="H21" s="66">
        <f t="shared" si="3"/>
        <v>3.4666666666666668</v>
      </c>
      <c r="I21" s="66">
        <f t="shared" si="3"/>
        <v>4.0249999999999995</v>
      </c>
      <c r="J21" s="66">
        <f t="shared" si="3"/>
        <v>4.583333333333333</v>
      </c>
      <c r="K21" s="66">
        <f t="shared" si="3"/>
        <v>5.1416666666666666</v>
      </c>
      <c r="L21" s="66">
        <f t="shared" si="3"/>
        <v>5.7</v>
      </c>
      <c r="M21" s="66">
        <f t="shared" si="3"/>
        <v>6.2583333333333329</v>
      </c>
      <c r="N21" s="66">
        <f t="shared" si="3"/>
        <v>6.8166666666666664</v>
      </c>
      <c r="O21" s="16"/>
      <c r="P21" s="16"/>
      <c r="Q21" s="121" t="s">
        <v>128</v>
      </c>
      <c r="R21" s="15" t="s">
        <v>54</v>
      </c>
      <c r="S21" s="13" t="s">
        <v>243</v>
      </c>
      <c r="T21" s="75"/>
      <c r="U21" s="75"/>
    </row>
    <row r="22" spans="2:21">
      <c r="F22" s="16"/>
      <c r="G22" s="16"/>
      <c r="H22" s="16"/>
      <c r="I22" s="16"/>
      <c r="J22" s="16"/>
      <c r="K22" s="16"/>
      <c r="L22" s="16"/>
      <c r="M22" s="16"/>
      <c r="N22" s="16"/>
      <c r="O22" s="15"/>
      <c r="P22" s="15"/>
      <c r="Q22" s="55"/>
      <c r="R22" s="15"/>
      <c r="S22" s="82"/>
      <c r="T22" s="75"/>
      <c r="U22" s="75"/>
    </row>
    <row r="23" spans="2:21" ht="12.75" customHeight="1">
      <c r="B23" s="5" t="s">
        <v>111</v>
      </c>
      <c r="C23" s="1"/>
      <c r="F23" s="15"/>
      <c r="G23" s="15"/>
      <c r="H23" s="15"/>
      <c r="I23" s="15"/>
      <c r="J23" s="15"/>
      <c r="K23" s="15"/>
      <c r="L23" s="15"/>
      <c r="M23" s="15"/>
      <c r="N23" s="15"/>
      <c r="O23" s="42"/>
      <c r="P23" s="42"/>
      <c r="Q23" s="69"/>
      <c r="R23" s="69"/>
      <c r="S23" s="82"/>
      <c r="T23" s="75"/>
      <c r="U23" s="75"/>
    </row>
    <row r="24" spans="2:21">
      <c r="B24" s="126" t="s">
        <v>129</v>
      </c>
      <c r="C24" s="72">
        <f t="shared" ref="C24:N24" si="4">C5*C18</f>
        <v>245.99999999999997</v>
      </c>
      <c r="D24" s="72">
        <f t="shared" si="4"/>
        <v>304</v>
      </c>
      <c r="E24" s="72">
        <f t="shared" si="4"/>
        <v>350</v>
      </c>
      <c r="F24" s="72">
        <f t="shared" si="4"/>
        <v>384</v>
      </c>
      <c r="G24" s="72">
        <f t="shared" si="4"/>
        <v>406</v>
      </c>
      <c r="H24" s="72">
        <f t="shared" si="4"/>
        <v>416</v>
      </c>
      <c r="I24" s="72">
        <f t="shared" si="4"/>
        <v>414.00000000000006</v>
      </c>
      <c r="J24" s="72">
        <f t="shared" si="4"/>
        <v>400</v>
      </c>
      <c r="K24" s="72">
        <f t="shared" si="4"/>
        <v>374.00000000000006</v>
      </c>
      <c r="L24" s="72">
        <f t="shared" si="4"/>
        <v>336.00000000000011</v>
      </c>
      <c r="M24" s="72">
        <f t="shared" si="4"/>
        <v>286</v>
      </c>
      <c r="N24" s="72">
        <f t="shared" si="4"/>
        <v>223.99999999999994</v>
      </c>
      <c r="O24" s="42"/>
      <c r="P24" s="42"/>
      <c r="Q24" s="121" t="s">
        <v>129</v>
      </c>
      <c r="R24" s="15" t="s">
        <v>101</v>
      </c>
      <c r="S24" s="81" t="s">
        <v>102</v>
      </c>
      <c r="T24" s="76"/>
      <c r="U24" s="76"/>
    </row>
    <row r="25" spans="2:21">
      <c r="B25" s="126" t="s">
        <v>130</v>
      </c>
      <c r="C25" s="72">
        <f t="shared" ref="C25:N25" si="5">$C6*C19</f>
        <v>988.92</v>
      </c>
      <c r="D25" s="72">
        <f t="shared" si="5"/>
        <v>916.56</v>
      </c>
      <c r="E25" s="72">
        <f t="shared" si="5"/>
        <v>844.2</v>
      </c>
      <c r="F25" s="72">
        <f t="shared" si="5"/>
        <v>771.84000000000015</v>
      </c>
      <c r="G25" s="72">
        <f t="shared" si="5"/>
        <v>699.48</v>
      </c>
      <c r="H25" s="72">
        <f t="shared" si="5"/>
        <v>627.12000000000012</v>
      </c>
      <c r="I25" s="72">
        <f t="shared" si="5"/>
        <v>554.7600000000001</v>
      </c>
      <c r="J25" s="72">
        <f t="shared" si="5"/>
        <v>482.40000000000003</v>
      </c>
      <c r="K25" s="72">
        <f t="shared" si="5"/>
        <v>410.04000000000008</v>
      </c>
      <c r="L25" s="72">
        <f t="shared" si="5"/>
        <v>337.68000000000012</v>
      </c>
      <c r="M25" s="72">
        <f t="shared" si="5"/>
        <v>265.32000000000005</v>
      </c>
      <c r="N25" s="72">
        <f t="shared" si="5"/>
        <v>192.95999999999998</v>
      </c>
      <c r="O25" s="42"/>
      <c r="P25" s="42"/>
      <c r="Q25" s="121" t="s">
        <v>130</v>
      </c>
      <c r="R25" s="15" t="s">
        <v>55</v>
      </c>
      <c r="S25" s="81" t="s">
        <v>103</v>
      </c>
      <c r="T25" s="76"/>
      <c r="U25" s="76"/>
    </row>
    <row r="26" spans="2:21" ht="13.5" thickBot="1">
      <c r="B26" s="127" t="s">
        <v>131</v>
      </c>
      <c r="C26" s="48">
        <f>C24+C25</f>
        <v>1234.9199999999998</v>
      </c>
      <c r="D26" s="48">
        <f t="shared" ref="D26:J26" si="6">D24+D25</f>
        <v>1220.56</v>
      </c>
      <c r="E26" s="48">
        <f t="shared" si="6"/>
        <v>1194.2</v>
      </c>
      <c r="F26" s="48">
        <f t="shared" si="6"/>
        <v>1155.8400000000001</v>
      </c>
      <c r="G26" s="48">
        <f t="shared" si="6"/>
        <v>1105.48</v>
      </c>
      <c r="H26" s="48">
        <f t="shared" si="6"/>
        <v>1043.1200000000001</v>
      </c>
      <c r="I26" s="48">
        <f t="shared" si="6"/>
        <v>968.76000000000022</v>
      </c>
      <c r="J26" s="48">
        <f t="shared" si="6"/>
        <v>882.40000000000009</v>
      </c>
      <c r="K26" s="48">
        <f>K24+K25</f>
        <v>784.04000000000019</v>
      </c>
      <c r="L26" s="48">
        <f>L24+L25</f>
        <v>673.68000000000029</v>
      </c>
      <c r="M26" s="48">
        <f>M24+M25</f>
        <v>551.32000000000005</v>
      </c>
      <c r="N26" s="48">
        <f>N24+N25</f>
        <v>416.95999999999992</v>
      </c>
      <c r="O26" s="42"/>
      <c r="P26" s="42"/>
      <c r="Q26" s="121" t="s">
        <v>131</v>
      </c>
      <c r="R26" s="15" t="s">
        <v>56</v>
      </c>
      <c r="S26" s="81" t="s">
        <v>104</v>
      </c>
      <c r="T26" s="76"/>
      <c r="U26" s="76"/>
    </row>
    <row r="27" spans="2:21" ht="13.5" thickTop="1">
      <c r="B27" s="133" t="s">
        <v>132</v>
      </c>
      <c r="C27" s="47">
        <f t="shared" ref="C27:N27" si="7">$C9*C18</f>
        <v>450.99999999999994</v>
      </c>
      <c r="D27" s="47">
        <f t="shared" si="7"/>
        <v>418</v>
      </c>
      <c r="E27" s="47">
        <f t="shared" si="7"/>
        <v>385</v>
      </c>
      <c r="F27" s="47">
        <f t="shared" si="7"/>
        <v>352</v>
      </c>
      <c r="G27" s="47">
        <f t="shared" si="7"/>
        <v>319</v>
      </c>
      <c r="H27" s="47">
        <f t="shared" si="7"/>
        <v>286</v>
      </c>
      <c r="I27" s="47">
        <f t="shared" si="7"/>
        <v>253.00000000000003</v>
      </c>
      <c r="J27" s="47">
        <f t="shared" si="7"/>
        <v>220</v>
      </c>
      <c r="K27" s="47">
        <f t="shared" si="7"/>
        <v>187.00000000000003</v>
      </c>
      <c r="L27" s="47">
        <f t="shared" si="7"/>
        <v>154.00000000000003</v>
      </c>
      <c r="M27" s="47">
        <f t="shared" si="7"/>
        <v>121.00000000000001</v>
      </c>
      <c r="N27" s="47">
        <f t="shared" si="7"/>
        <v>87.999999999999986</v>
      </c>
      <c r="Q27" s="121" t="s">
        <v>132</v>
      </c>
      <c r="R27" s="15" t="s">
        <v>57</v>
      </c>
      <c r="S27" s="81" t="s">
        <v>105</v>
      </c>
      <c r="T27" s="76"/>
      <c r="U27" s="76"/>
    </row>
    <row r="28" spans="2:21">
      <c r="B28" s="126" t="s">
        <v>133</v>
      </c>
      <c r="C28" s="11">
        <f t="shared" ref="C28:N28" si="8">$C10*C19</f>
        <v>590.4</v>
      </c>
      <c r="D28" s="11">
        <f t="shared" si="8"/>
        <v>547.19999999999993</v>
      </c>
      <c r="E28" s="11">
        <f t="shared" si="8"/>
        <v>504</v>
      </c>
      <c r="F28" s="11">
        <f t="shared" si="8"/>
        <v>460.80000000000007</v>
      </c>
      <c r="G28" s="11">
        <f t="shared" si="8"/>
        <v>417.59999999999997</v>
      </c>
      <c r="H28" s="11">
        <f t="shared" si="8"/>
        <v>374.40000000000003</v>
      </c>
      <c r="I28" s="11">
        <f t="shared" si="8"/>
        <v>331.20000000000005</v>
      </c>
      <c r="J28" s="11">
        <f t="shared" si="8"/>
        <v>288</v>
      </c>
      <c r="K28" s="11">
        <f t="shared" si="8"/>
        <v>244.8</v>
      </c>
      <c r="L28" s="11">
        <f t="shared" si="8"/>
        <v>201.60000000000005</v>
      </c>
      <c r="M28" s="11">
        <f t="shared" si="8"/>
        <v>158.4</v>
      </c>
      <c r="N28" s="11">
        <f t="shared" si="8"/>
        <v>115.19999999999997</v>
      </c>
      <c r="Q28" s="121" t="s">
        <v>133</v>
      </c>
      <c r="R28" s="15" t="s">
        <v>58</v>
      </c>
      <c r="S28" s="81" t="s">
        <v>91</v>
      </c>
      <c r="T28" s="76"/>
      <c r="U28" s="76"/>
    </row>
    <row r="29" spans="2:21" ht="13.5" thickBot="1">
      <c r="B29" s="127" t="s">
        <v>134</v>
      </c>
      <c r="C29" s="48">
        <f>C27+C28+$C11</f>
        <v>1111.3999999999999</v>
      </c>
      <c r="D29" s="48">
        <f t="shared" ref="D29:N29" si="9">D27+D28+$C11</f>
        <v>1035.1999999999998</v>
      </c>
      <c r="E29" s="48">
        <f t="shared" si="9"/>
        <v>959</v>
      </c>
      <c r="F29" s="48">
        <f t="shared" si="9"/>
        <v>882.80000000000007</v>
      </c>
      <c r="G29" s="48">
        <f t="shared" si="9"/>
        <v>806.59999999999991</v>
      </c>
      <c r="H29" s="48">
        <f t="shared" si="9"/>
        <v>730.40000000000009</v>
      </c>
      <c r="I29" s="48">
        <f t="shared" si="9"/>
        <v>654.20000000000005</v>
      </c>
      <c r="J29" s="48">
        <f t="shared" si="9"/>
        <v>578</v>
      </c>
      <c r="K29" s="48">
        <f t="shared" si="9"/>
        <v>501.80000000000007</v>
      </c>
      <c r="L29" s="48">
        <f t="shared" si="9"/>
        <v>425.60000000000008</v>
      </c>
      <c r="M29" s="48">
        <f t="shared" si="9"/>
        <v>349.40000000000003</v>
      </c>
      <c r="N29" s="48">
        <f t="shared" si="9"/>
        <v>273.19999999999993</v>
      </c>
      <c r="Q29" s="121" t="s">
        <v>134</v>
      </c>
      <c r="R29" s="15" t="s">
        <v>59</v>
      </c>
      <c r="S29" s="81" t="s">
        <v>106</v>
      </c>
      <c r="T29" s="76"/>
      <c r="U29" s="76"/>
    </row>
    <row r="30" spans="2:21" ht="13.5" thickTop="1">
      <c r="B30" s="126" t="s">
        <v>135</v>
      </c>
      <c r="C30" s="11">
        <f>C24-C27</f>
        <v>-204.99999999999997</v>
      </c>
      <c r="D30" s="11">
        <f t="shared" ref="D30:J30" si="10">D24-D27</f>
        <v>-114</v>
      </c>
      <c r="E30" s="11">
        <f t="shared" si="10"/>
        <v>-35</v>
      </c>
      <c r="F30" s="11">
        <f t="shared" si="10"/>
        <v>32</v>
      </c>
      <c r="G30" s="11">
        <f t="shared" si="10"/>
        <v>87</v>
      </c>
      <c r="H30" s="11">
        <f t="shared" si="10"/>
        <v>130</v>
      </c>
      <c r="I30" s="11">
        <f t="shared" si="10"/>
        <v>161.00000000000003</v>
      </c>
      <c r="J30" s="11">
        <f t="shared" si="10"/>
        <v>180</v>
      </c>
      <c r="K30" s="11">
        <f t="shared" ref="K30:N32" si="11">K24-K27</f>
        <v>187.00000000000003</v>
      </c>
      <c r="L30" s="11">
        <f t="shared" si="11"/>
        <v>182.00000000000009</v>
      </c>
      <c r="M30" s="11">
        <f t="shared" si="11"/>
        <v>165</v>
      </c>
      <c r="N30" s="11">
        <f t="shared" si="11"/>
        <v>135.99999999999994</v>
      </c>
      <c r="Q30" s="121" t="s">
        <v>135</v>
      </c>
      <c r="R30" s="15" t="s">
        <v>60</v>
      </c>
      <c r="S30" s="81" t="s">
        <v>107</v>
      </c>
      <c r="T30" s="76"/>
      <c r="U30" s="76"/>
    </row>
    <row r="31" spans="2:21">
      <c r="B31" s="126" t="s">
        <v>136</v>
      </c>
      <c r="C31" s="11">
        <f>C25-C28</f>
        <v>398.52</v>
      </c>
      <c r="D31" s="11">
        <f t="shared" ref="D31:J31" si="12">D25-D28</f>
        <v>369.36</v>
      </c>
      <c r="E31" s="11">
        <f t="shared" si="12"/>
        <v>340.20000000000005</v>
      </c>
      <c r="F31" s="11">
        <f t="shared" si="12"/>
        <v>311.04000000000008</v>
      </c>
      <c r="G31" s="11">
        <f t="shared" si="12"/>
        <v>281.88000000000005</v>
      </c>
      <c r="H31" s="11">
        <f t="shared" si="12"/>
        <v>252.72000000000008</v>
      </c>
      <c r="I31" s="11">
        <f t="shared" si="12"/>
        <v>223.56000000000006</v>
      </c>
      <c r="J31" s="11">
        <f t="shared" si="12"/>
        <v>194.40000000000003</v>
      </c>
      <c r="K31" s="11">
        <f t="shared" si="11"/>
        <v>165.24000000000007</v>
      </c>
      <c r="L31" s="11">
        <f t="shared" si="11"/>
        <v>136.08000000000007</v>
      </c>
      <c r="M31" s="11">
        <f t="shared" si="11"/>
        <v>106.92000000000004</v>
      </c>
      <c r="N31" s="11">
        <f t="shared" si="11"/>
        <v>77.760000000000005</v>
      </c>
      <c r="Q31" s="121" t="s">
        <v>136</v>
      </c>
      <c r="R31" s="15" t="s">
        <v>61</v>
      </c>
      <c r="S31" s="83" t="s">
        <v>71</v>
      </c>
      <c r="T31" s="76"/>
      <c r="U31" s="76"/>
    </row>
    <row r="32" spans="2:21">
      <c r="B32" s="17" t="s">
        <v>29</v>
      </c>
      <c r="C32" s="18">
        <f>C26-C29</f>
        <v>123.51999999999998</v>
      </c>
      <c r="D32" s="18">
        <f t="shared" ref="D32:J32" si="13">D26-D29</f>
        <v>185.36000000000013</v>
      </c>
      <c r="E32" s="18">
        <f t="shared" si="13"/>
        <v>235.20000000000005</v>
      </c>
      <c r="F32" s="18">
        <f t="shared" si="13"/>
        <v>273.04000000000008</v>
      </c>
      <c r="G32" s="18">
        <f t="shared" si="13"/>
        <v>298.88000000000011</v>
      </c>
      <c r="H32" s="18">
        <f t="shared" si="13"/>
        <v>312.72000000000003</v>
      </c>
      <c r="I32" s="18">
        <f t="shared" si="13"/>
        <v>314.56000000000017</v>
      </c>
      <c r="J32" s="18">
        <f t="shared" si="13"/>
        <v>304.40000000000009</v>
      </c>
      <c r="K32" s="18">
        <f t="shared" si="11"/>
        <v>282.24000000000012</v>
      </c>
      <c r="L32" s="18">
        <f t="shared" si="11"/>
        <v>248.08000000000021</v>
      </c>
      <c r="M32" s="18">
        <f t="shared" si="11"/>
        <v>201.92000000000002</v>
      </c>
      <c r="N32" s="18">
        <f t="shared" si="11"/>
        <v>143.76</v>
      </c>
      <c r="Q32" s="55" t="s">
        <v>29</v>
      </c>
      <c r="R32" s="15" t="s">
        <v>62</v>
      </c>
      <c r="S32" s="83" t="s">
        <v>70</v>
      </c>
      <c r="T32" s="76"/>
      <c r="U32" s="76"/>
    </row>
    <row r="33" spans="2:21">
      <c r="B33" s="126" t="s">
        <v>145</v>
      </c>
      <c r="C33" s="66">
        <f>C32/C26</f>
        <v>0.10002267353350824</v>
      </c>
      <c r="D33" s="66">
        <f t="shared" ref="D33:N33" si="14">D32/D26</f>
        <v>0.15186471783443675</v>
      </c>
      <c r="E33" s="66">
        <f t="shared" si="14"/>
        <v>0.19695193434935523</v>
      </c>
      <c r="F33" s="66">
        <f t="shared" si="14"/>
        <v>0.23622646733111854</v>
      </c>
      <c r="G33" s="66">
        <f t="shared" si="14"/>
        <v>0.2703621956073381</v>
      </c>
      <c r="H33" s="66">
        <f t="shared" si="14"/>
        <v>0.29979292890559089</v>
      </c>
      <c r="I33" s="66">
        <f t="shared" si="14"/>
        <v>0.32470374499360016</v>
      </c>
      <c r="J33" s="66">
        <f t="shared" si="14"/>
        <v>0.34496826835902095</v>
      </c>
      <c r="K33" s="66">
        <f t="shared" si="14"/>
        <v>0.35998163359012303</v>
      </c>
      <c r="L33" s="66">
        <f t="shared" si="14"/>
        <v>0.36824605153782225</v>
      </c>
      <c r="M33" s="66">
        <f t="shared" si="14"/>
        <v>0.36624827686280198</v>
      </c>
      <c r="N33" s="66">
        <f t="shared" si="14"/>
        <v>0.34478127398311592</v>
      </c>
      <c r="Q33" s="121" t="s">
        <v>145</v>
      </c>
      <c r="R33" s="15" t="s">
        <v>69</v>
      </c>
      <c r="S33" s="83" t="s">
        <v>108</v>
      </c>
      <c r="T33" s="76"/>
      <c r="U33" s="76"/>
    </row>
  </sheetData>
  <customSheetViews>
    <customSheetView guid="{18D261E6-8F6E-4DCF-A3D9-294C7EF5648B}" showPageBreaks="1" showGridLines="0" hiddenColumns="1" showRuler="0">
      <pane xSplit="13" ySplit="7" topLeftCell="O8" activePane="bottomRight" state="frozen"/>
      <selection pane="bottomRight"/>
      <colBreaks count="2" manualBreakCount="2">
        <brk id="25" max="1048575" man="1"/>
        <brk id="36" max="1048575" man="1"/>
      </colBreaks>
      <pageMargins left="0.75" right="0.75" top="1" bottom="1" header="0.5" footer="0.5"/>
      <pageSetup paperSize="9" orientation="landscape" r:id="rId1"/>
      <headerFooter alignWithMargins="0">
        <oddFooter>&amp;LLeongTY&amp;R&amp;F/&amp;A</oddFooter>
      </headerFooter>
    </customSheetView>
    <customSheetView guid="{41690409-2766-4911-B71D-0C470EB1EC9C}" showPageBreaks="1" showGridLines="0" showRuler="0">
      <pane xSplit="3" ySplit="7" topLeftCell="D8" activePane="bottomRight" state="frozen"/>
      <selection pane="bottomRight"/>
      <colBreaks count="3" manualBreakCount="3">
        <brk id="15" max="1048575" man="1"/>
        <brk id="25" max="1048575" man="1"/>
        <brk id="36" max="1048575" man="1"/>
      </colBreaks>
      <pageMargins left="0.75" right="0.75" top="1" bottom="1" header="0.5" footer="0.5"/>
      <pageSetup paperSize="9" orientation="landscape" r:id="rId2"/>
      <headerFooter alignWithMargins="0">
        <oddFooter>&amp;LLeongTY&amp;R&amp;F/&amp;A</oddFooter>
      </headerFooter>
    </customSheetView>
  </customSheetViews>
  <phoneticPr fontId="8" type="noConversion"/>
  <conditionalFormatting sqref="J30:N33 I33 I27:I28 J26:N28 I30:I31 C26:H28 C30:H33 C18:N21 C5:N6">
    <cfRule type="expression" dxfId="13" priority="2" stopIfTrue="1">
      <formula>(C$32=MAX($C$32:$N$32))</formula>
    </cfRule>
  </conditionalFormatting>
  <conditionalFormatting sqref="I26 C29:N29">
    <cfRule type="expression" dxfId="12" priority="3" stopIfTrue="1">
      <formula>(C$32=MAX($C$32:$N$32))</formula>
    </cfRule>
  </conditionalFormatting>
  <conditionalFormatting sqref="I32">
    <cfRule type="expression" dxfId="11" priority="4" stopIfTrue="1">
      <formula>(I$32=MAX($C$32:$N$32))</formula>
    </cfRule>
  </conditionalFormatting>
  <conditionalFormatting sqref="C24:N25">
    <cfRule type="expression" dxfId="10" priority="5" stopIfTrue="1">
      <formula>(C$32=MAX($C$32:$N$32))</formula>
    </cfRule>
  </conditionalFormatting>
  <conditionalFormatting sqref="C9:C15">
    <cfRule type="cellIs" dxfId="9" priority="6" stopIfTrue="1" operator="equal">
      <formula>""</formula>
    </cfRule>
  </conditionalFormatting>
  <conditionalFormatting sqref="C5:N6">
    <cfRule type="cellIs" dxfId="8" priority="1" operator="equal">
      <formula>""</formula>
    </cfRule>
  </conditionalFormatting>
  <pageMargins left="0.75" right="0.75" top="1" bottom="1" header="0.5" footer="0.5"/>
  <pageSetup paperSize="9" orientation="landscape" r:id="rId3"/>
  <headerFooter alignWithMargins="0">
    <oddFooter>&amp;LLeongTY&amp;R&amp;F/&amp;A</oddFooter>
  </headerFooter>
  <colBreaks count="3" manualBreakCount="3">
    <brk id="15" max="1048575" man="1"/>
    <brk id="25" max="1048575" man="1"/>
    <brk id="36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indexed="43"/>
  </sheetPr>
  <dimension ref="A1:P34"/>
  <sheetViews>
    <sheetView showGridLines="0" zoomScale="110" zoomScaleNormal="110" workbookViewId="0"/>
  </sheetViews>
  <sheetFormatPr defaultRowHeight="12.75"/>
  <cols>
    <col min="1" max="1" width="0.85546875" customWidth="1"/>
    <col min="2" max="13" width="8.28515625" customWidth="1"/>
    <col min="14" max="15" width="10.7109375" customWidth="1"/>
    <col min="16" max="17" width="0.85546875" customWidth="1"/>
    <col min="18" max="18" width="11.28515625" bestFit="1" customWidth="1"/>
    <col min="19" max="21" width="9.7109375" bestFit="1" customWidth="1"/>
  </cols>
  <sheetData>
    <row r="1" spans="1:16" ht="15.75">
      <c r="A1" s="115"/>
      <c r="B1" s="54" t="s">
        <v>77</v>
      </c>
      <c r="O1" s="102" t="s">
        <v>97</v>
      </c>
    </row>
    <row r="2" spans="1:16">
      <c r="A2" s="97"/>
      <c r="B2" s="7"/>
      <c r="C2" s="8"/>
      <c r="D2" s="8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>
      <c r="A3" s="7"/>
      <c r="B3" s="7"/>
      <c r="C3" s="7"/>
      <c r="D3" s="57" t="s">
        <v>86</v>
      </c>
      <c r="E3" s="7"/>
      <c r="F3" s="7"/>
      <c r="G3" s="57" t="s">
        <v>73</v>
      </c>
      <c r="H3" s="7"/>
      <c r="I3" s="57" t="s">
        <v>72</v>
      </c>
      <c r="J3" s="7"/>
      <c r="K3" s="7"/>
      <c r="L3" s="7"/>
      <c r="M3" s="57" t="s">
        <v>110</v>
      </c>
      <c r="N3" s="62" t="s">
        <v>76</v>
      </c>
      <c r="O3" s="62" t="s">
        <v>114</v>
      </c>
      <c r="P3" s="7"/>
    </row>
    <row r="4" spans="1:16">
      <c r="A4" s="7"/>
      <c r="B4" s="7"/>
      <c r="C4" s="35" t="s">
        <v>139</v>
      </c>
      <c r="D4" s="108">
        <v>55</v>
      </c>
      <c r="E4" s="7"/>
      <c r="F4" s="35" t="s">
        <v>146</v>
      </c>
      <c r="G4" s="114">
        <v>0.67</v>
      </c>
      <c r="H4" s="35" t="s">
        <v>26</v>
      </c>
      <c r="I4" s="116">
        <v>10.6</v>
      </c>
      <c r="J4" s="7"/>
      <c r="K4" s="7"/>
      <c r="L4" s="35" t="s">
        <v>27</v>
      </c>
      <c r="M4" s="117">
        <v>90</v>
      </c>
      <c r="N4" s="80">
        <f>IF(M5&gt;G4*M4,0,I4+I5*M4)</f>
        <v>5.2</v>
      </c>
      <c r="O4" s="59">
        <f>(M4-D4)*N4</f>
        <v>182</v>
      </c>
      <c r="P4" s="7"/>
    </row>
    <row r="5" spans="1:16">
      <c r="A5" s="7"/>
      <c r="B5" s="7"/>
      <c r="C5" s="35" t="s">
        <v>140</v>
      </c>
      <c r="D5" s="108">
        <v>12</v>
      </c>
      <c r="E5" s="7"/>
      <c r="F5" s="35" t="s">
        <v>123</v>
      </c>
      <c r="G5" s="114">
        <v>6</v>
      </c>
      <c r="H5" s="35" t="s">
        <v>33</v>
      </c>
      <c r="I5" s="114">
        <v>-0.06</v>
      </c>
      <c r="J5" s="7"/>
      <c r="K5" s="7"/>
      <c r="L5" s="35" t="s">
        <v>75</v>
      </c>
      <c r="M5" s="117">
        <v>60.3</v>
      </c>
      <c r="N5" s="80">
        <f>G5*N4</f>
        <v>31.200000000000003</v>
      </c>
      <c r="O5" s="60">
        <f>(M5-D5)*N5</f>
        <v>1506.96</v>
      </c>
      <c r="P5" s="7"/>
    </row>
    <row r="6" spans="1:16">
      <c r="A6" s="7"/>
      <c r="B6" s="35"/>
      <c r="C6" s="53" t="s">
        <v>141</v>
      </c>
      <c r="D6" s="108">
        <v>70</v>
      </c>
      <c r="E6" s="35"/>
      <c r="F6" s="7"/>
      <c r="G6" s="7"/>
      <c r="H6" s="35"/>
      <c r="I6" s="7"/>
      <c r="J6" s="7"/>
      <c r="K6" s="7"/>
      <c r="L6" s="7"/>
      <c r="M6" s="35"/>
      <c r="N6" s="58" t="s">
        <v>74</v>
      </c>
      <c r="O6" s="61">
        <f>O4+O5-D6</f>
        <v>1618.96</v>
      </c>
      <c r="P6" s="7"/>
    </row>
    <row r="7" spans="1:16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 spans="1:16" ht="22.5">
      <c r="C8" s="134" t="s">
        <v>147</v>
      </c>
      <c r="D8" t="s">
        <v>114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16" ht="22.5">
      <c r="B9" s="177" t="s">
        <v>148</v>
      </c>
      <c r="C9" s="176">
        <f>O6</f>
        <v>1618.96</v>
      </c>
      <c r="D9" s="118">
        <v>-0.12</v>
      </c>
      <c r="E9" s="118">
        <v>-0.11</v>
      </c>
      <c r="F9" s="118">
        <v>-0.1</v>
      </c>
      <c r="G9" s="118">
        <v>-0.09</v>
      </c>
      <c r="H9" s="118">
        <v>-0.08</v>
      </c>
      <c r="I9" s="118">
        <v>-7.0000000000000007E-2</v>
      </c>
      <c r="J9" s="118">
        <v>-0.06</v>
      </c>
      <c r="K9" s="118">
        <v>-0.05</v>
      </c>
      <c r="L9" s="118">
        <v>-0.04</v>
      </c>
      <c r="M9" s="118">
        <v>-0.03</v>
      </c>
      <c r="N9" s="118">
        <v>-0.02</v>
      </c>
      <c r="O9" s="118">
        <v>-0.01</v>
      </c>
    </row>
    <row r="10" spans="1:16">
      <c r="C10" s="119">
        <v>4.5999999999999996</v>
      </c>
      <c r="D10" s="79">
        <f t="dataTable" ref="D10:O21" dt2D="1" dtr="0" r1="I5" r2="G5"/>
        <v>-121.43599999999981</v>
      </c>
      <c r="E10" s="79">
        <v>110.02599999999981</v>
      </c>
      <c r="F10" s="79">
        <v>341.48799999999989</v>
      </c>
      <c r="G10" s="79">
        <v>572.94999999999993</v>
      </c>
      <c r="H10" s="79">
        <v>804.41199999999981</v>
      </c>
      <c r="I10" s="79">
        <v>1035.8739999999996</v>
      </c>
      <c r="J10" s="79">
        <v>1267.3359999999998</v>
      </c>
      <c r="K10" s="79">
        <v>1498.7979999999998</v>
      </c>
      <c r="L10" s="79">
        <v>1730.2599999999998</v>
      </c>
      <c r="M10" s="79">
        <v>1961.7219999999998</v>
      </c>
      <c r="N10" s="79">
        <v>2193.1839999999993</v>
      </c>
      <c r="O10" s="79">
        <v>2424.6459999999993</v>
      </c>
    </row>
    <row r="11" spans="1:16">
      <c r="C11" s="119">
        <v>4.8</v>
      </c>
      <c r="D11" s="79">
        <v>-123.36799999999981</v>
      </c>
      <c r="E11" s="79">
        <v>116.78799999999978</v>
      </c>
      <c r="F11" s="79">
        <v>356.9439999999999</v>
      </c>
      <c r="G11" s="79">
        <v>597.09999999999991</v>
      </c>
      <c r="H11" s="79">
        <v>837.25599999999974</v>
      </c>
      <c r="I11" s="79">
        <v>1077.4119999999996</v>
      </c>
      <c r="J11" s="79">
        <v>1317.568</v>
      </c>
      <c r="K11" s="79">
        <v>1557.7239999999997</v>
      </c>
      <c r="L11" s="79">
        <v>1797.8799999999999</v>
      </c>
      <c r="M11" s="79">
        <v>2038.0360000000001</v>
      </c>
      <c r="N11" s="79">
        <v>2278.1919999999996</v>
      </c>
      <c r="O11" s="79">
        <v>2518.3479999999995</v>
      </c>
    </row>
    <row r="12" spans="1:16">
      <c r="C12" s="119">
        <v>5</v>
      </c>
      <c r="D12" s="79">
        <v>-125.2999999999998</v>
      </c>
      <c r="E12" s="79">
        <v>123.54999999999978</v>
      </c>
      <c r="F12" s="79">
        <v>372.39999999999986</v>
      </c>
      <c r="G12" s="79">
        <v>621.25</v>
      </c>
      <c r="H12" s="79">
        <v>870.0999999999998</v>
      </c>
      <c r="I12" s="79">
        <v>1118.9499999999996</v>
      </c>
      <c r="J12" s="79">
        <v>1367.8</v>
      </c>
      <c r="K12" s="79">
        <v>1616.6499999999999</v>
      </c>
      <c r="L12" s="79">
        <v>1865.5</v>
      </c>
      <c r="M12" s="79">
        <v>2114.35</v>
      </c>
      <c r="N12" s="79">
        <v>2363.1999999999994</v>
      </c>
      <c r="O12" s="79">
        <v>2612.0499999999997</v>
      </c>
    </row>
    <row r="13" spans="1:16">
      <c r="C13" s="119">
        <v>5.2</v>
      </c>
      <c r="D13" s="79">
        <v>-127.23199999999979</v>
      </c>
      <c r="E13" s="79">
        <v>130.31199999999978</v>
      </c>
      <c r="F13" s="79">
        <v>387.85599999999988</v>
      </c>
      <c r="G13" s="79">
        <v>645.4</v>
      </c>
      <c r="H13" s="79">
        <v>902.94399999999973</v>
      </c>
      <c r="I13" s="79">
        <v>1160.4879999999998</v>
      </c>
      <c r="J13" s="79">
        <v>1418.0320000000002</v>
      </c>
      <c r="K13" s="79">
        <v>1675.5759999999998</v>
      </c>
      <c r="L13" s="79">
        <v>1933.12</v>
      </c>
      <c r="M13" s="79">
        <v>2190.6640000000002</v>
      </c>
      <c r="N13" s="79">
        <v>2448.2079999999996</v>
      </c>
      <c r="O13" s="79">
        <v>2705.752</v>
      </c>
    </row>
    <row r="14" spans="1:16">
      <c r="C14" s="119">
        <v>5.4</v>
      </c>
      <c r="D14" s="79">
        <v>-129.16399999999979</v>
      </c>
      <c r="E14" s="79">
        <v>137.07399999999978</v>
      </c>
      <c r="F14" s="79">
        <v>403.3119999999999</v>
      </c>
      <c r="G14" s="79">
        <v>669.55</v>
      </c>
      <c r="H14" s="79">
        <v>935.7879999999999</v>
      </c>
      <c r="I14" s="79">
        <v>1202.0259999999996</v>
      </c>
      <c r="J14" s="79">
        <v>1468.2639999999999</v>
      </c>
      <c r="K14" s="79">
        <v>1734.5019999999997</v>
      </c>
      <c r="L14" s="79">
        <v>2000.7399999999998</v>
      </c>
      <c r="M14" s="79">
        <v>2266.9780000000001</v>
      </c>
      <c r="N14" s="79">
        <v>2533.2159999999999</v>
      </c>
      <c r="O14" s="79">
        <v>2799.4540000000002</v>
      </c>
    </row>
    <row r="15" spans="1:16">
      <c r="C15" s="119">
        <v>5.6</v>
      </c>
      <c r="D15" s="79">
        <v>-131.09599999999978</v>
      </c>
      <c r="E15" s="79">
        <v>143.83599999999976</v>
      </c>
      <c r="F15" s="79">
        <v>418.76799999999986</v>
      </c>
      <c r="G15" s="79">
        <v>693.69999999999993</v>
      </c>
      <c r="H15" s="79">
        <v>968.63199999999961</v>
      </c>
      <c r="I15" s="79">
        <v>1243.5639999999994</v>
      </c>
      <c r="J15" s="79">
        <v>1518.4959999999999</v>
      </c>
      <c r="K15" s="79">
        <v>1793.4279999999997</v>
      </c>
      <c r="L15" s="79">
        <v>2068.3599999999997</v>
      </c>
      <c r="M15" s="79">
        <v>2343.2919999999999</v>
      </c>
      <c r="N15" s="79">
        <v>2618.2239999999997</v>
      </c>
      <c r="O15" s="79">
        <v>2893.1559999999995</v>
      </c>
    </row>
    <row r="16" spans="1:16">
      <c r="C16" s="119">
        <v>5.8</v>
      </c>
      <c r="D16" s="79">
        <v>-133.02799999999979</v>
      </c>
      <c r="E16" s="79">
        <v>150.59799999999976</v>
      </c>
      <c r="F16" s="79">
        <v>434.22399999999988</v>
      </c>
      <c r="G16" s="79">
        <v>717.84999999999991</v>
      </c>
      <c r="H16" s="79">
        <v>1001.4759999999997</v>
      </c>
      <c r="I16" s="79">
        <v>1285.1019999999996</v>
      </c>
      <c r="J16" s="79">
        <v>1568.7279999999998</v>
      </c>
      <c r="K16" s="79">
        <v>1852.3539999999996</v>
      </c>
      <c r="L16" s="79">
        <v>2135.98</v>
      </c>
      <c r="M16" s="79">
        <v>2419.6059999999998</v>
      </c>
      <c r="N16" s="79">
        <v>2703.2319999999995</v>
      </c>
      <c r="O16" s="79">
        <v>2986.8579999999993</v>
      </c>
    </row>
    <row r="17" spans="2:16">
      <c r="C17" s="119">
        <v>6</v>
      </c>
      <c r="D17" s="79">
        <v>-134.95999999999975</v>
      </c>
      <c r="E17" s="79">
        <v>157.35999999999976</v>
      </c>
      <c r="F17" s="79">
        <v>449.67999999999984</v>
      </c>
      <c r="G17" s="79">
        <v>742</v>
      </c>
      <c r="H17" s="79">
        <v>1034.3199999999997</v>
      </c>
      <c r="I17" s="79">
        <v>1326.6399999999996</v>
      </c>
      <c r="J17" s="79">
        <v>1618.96</v>
      </c>
      <c r="K17" s="79">
        <v>1911.2799999999995</v>
      </c>
      <c r="L17" s="79">
        <v>2203.6</v>
      </c>
      <c r="M17" s="79">
        <v>2495.92</v>
      </c>
      <c r="N17" s="79">
        <v>2788.24</v>
      </c>
      <c r="O17" s="79">
        <v>3080.5599999999995</v>
      </c>
    </row>
    <row r="18" spans="2:16">
      <c r="C18" s="119">
        <v>6.2</v>
      </c>
      <c r="D18" s="79">
        <v>-136.89199999999977</v>
      </c>
      <c r="E18" s="79">
        <v>164.12199999999973</v>
      </c>
      <c r="F18" s="79">
        <v>465.13599999999985</v>
      </c>
      <c r="G18" s="79">
        <v>766.15</v>
      </c>
      <c r="H18" s="79">
        <v>1067.1639999999998</v>
      </c>
      <c r="I18" s="79">
        <v>1368.1779999999997</v>
      </c>
      <c r="J18" s="79">
        <v>1669.192</v>
      </c>
      <c r="K18" s="79">
        <v>1970.2059999999999</v>
      </c>
      <c r="L18" s="79">
        <v>2271.2199999999998</v>
      </c>
      <c r="M18" s="79">
        <v>2572.2339999999999</v>
      </c>
      <c r="N18" s="79">
        <v>2873.2479999999996</v>
      </c>
      <c r="O18" s="79">
        <v>3174.2619999999997</v>
      </c>
    </row>
    <row r="19" spans="2:16">
      <c r="C19" s="119">
        <v>6.4</v>
      </c>
      <c r="D19" s="79">
        <v>-138.82399999999976</v>
      </c>
      <c r="E19" s="79">
        <v>170.88399999999976</v>
      </c>
      <c r="F19" s="79">
        <v>480.59199999999987</v>
      </c>
      <c r="G19" s="79">
        <v>790.3</v>
      </c>
      <c r="H19" s="79">
        <v>1100.0079999999998</v>
      </c>
      <c r="I19" s="79">
        <v>1409.7159999999997</v>
      </c>
      <c r="J19" s="79">
        <v>1719.424</v>
      </c>
      <c r="K19" s="79">
        <v>2029.1319999999996</v>
      </c>
      <c r="L19" s="79">
        <v>2338.84</v>
      </c>
      <c r="M19" s="79">
        <v>2648.5479999999998</v>
      </c>
      <c r="N19" s="79">
        <v>2958.2559999999994</v>
      </c>
      <c r="O19" s="79">
        <v>3267.9639999999999</v>
      </c>
    </row>
    <row r="20" spans="2:16">
      <c r="C20" s="119">
        <v>6.6</v>
      </c>
      <c r="D20" s="79">
        <v>-140.75599999999974</v>
      </c>
      <c r="E20" s="79">
        <v>177.6459999999997</v>
      </c>
      <c r="F20" s="79">
        <v>496.04799999999977</v>
      </c>
      <c r="G20" s="79">
        <v>814.44999999999993</v>
      </c>
      <c r="H20" s="79">
        <v>1132.8519999999996</v>
      </c>
      <c r="I20" s="79">
        <v>1451.2539999999995</v>
      </c>
      <c r="J20" s="79">
        <v>1769.6559999999999</v>
      </c>
      <c r="K20" s="79">
        <v>2088.058</v>
      </c>
      <c r="L20" s="79">
        <v>2406.4599999999996</v>
      </c>
      <c r="M20" s="79">
        <v>2724.8620000000001</v>
      </c>
      <c r="N20" s="79">
        <v>3043.2639999999992</v>
      </c>
      <c r="O20" s="79">
        <v>3361.6659999999997</v>
      </c>
    </row>
    <row r="21" spans="2:16">
      <c r="C21" s="119">
        <v>6.8</v>
      </c>
      <c r="D21" s="79">
        <v>-142.68799999999973</v>
      </c>
      <c r="E21" s="79">
        <v>184.40799999999973</v>
      </c>
      <c r="F21" s="79">
        <v>511.50399999999979</v>
      </c>
      <c r="G21" s="79">
        <v>838.59999999999991</v>
      </c>
      <c r="H21" s="79">
        <v>1165.6959999999999</v>
      </c>
      <c r="I21" s="79">
        <v>1492.7919999999995</v>
      </c>
      <c r="J21" s="79">
        <v>1819.8879999999999</v>
      </c>
      <c r="K21" s="79">
        <v>2146.9839999999995</v>
      </c>
      <c r="L21" s="79">
        <v>2474.08</v>
      </c>
      <c r="M21" s="79">
        <v>2801.1759999999999</v>
      </c>
      <c r="N21" s="79">
        <v>3128.2719999999995</v>
      </c>
      <c r="O21" s="79">
        <v>3455.3679999999995</v>
      </c>
    </row>
    <row r="22" spans="2:16">
      <c r="C22" s="38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6">
      <c r="B23" s="10" t="s">
        <v>32</v>
      </c>
      <c r="C23" s="38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2:16">
      <c r="B24" s="103" t="s">
        <v>152</v>
      </c>
      <c r="D24" s="5"/>
      <c r="E24" s="8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2:16">
      <c r="B25" s="136" t="s">
        <v>155</v>
      </c>
      <c r="D25" s="38"/>
      <c r="E25" s="39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</row>
    <row r="26" spans="2:16">
      <c r="B26" s="38"/>
    </row>
    <row r="27" spans="2:16">
      <c r="B27" s="103" t="s">
        <v>153</v>
      </c>
    </row>
    <row r="28" spans="2:16">
      <c r="B28" s="135" t="s">
        <v>154</v>
      </c>
    </row>
    <row r="29" spans="2:16">
      <c r="B29" s="38"/>
    </row>
    <row r="30" spans="2:16">
      <c r="B30" s="155" t="s">
        <v>244</v>
      </c>
    </row>
    <row r="31" spans="2:16">
      <c r="B31" s="155" t="s">
        <v>245</v>
      </c>
    </row>
    <row r="33" spans="2:2">
      <c r="B33" s="10" t="s">
        <v>94</v>
      </c>
    </row>
    <row r="34" spans="2:2">
      <c r="B34" t="s">
        <v>151</v>
      </c>
    </row>
  </sheetData>
  <customSheetViews>
    <customSheetView guid="{18D261E6-8F6E-4DCF-A3D9-294C7EF5648B}" showPageBreaks="1" showGridLines="0" printArea="1" showRuler="0">
      <selection activeCell="K23" sqref="K23"/>
      <colBreaks count="1" manualBreakCount="1">
        <brk id="16" max="1048575" man="1"/>
      </colBreaks>
      <pageMargins left="0.75" right="0.75" top="1" bottom="1" header="0.5" footer="0.5"/>
      <pageSetup paperSize="9" orientation="landscape" r:id="rId1"/>
      <headerFooter alignWithMargins="0">
        <oddFooter>&amp;LLeongTY&amp;R&amp;F/&amp;A</oddFooter>
      </headerFooter>
    </customSheetView>
    <customSheetView guid="{41690409-2766-4911-B71D-0C470EB1EC9C}" showPageBreaks="1" showGridLines="0" printArea="1" showRuler="0">
      <colBreaks count="1" manualBreakCount="1">
        <brk id="16" max="1048575" man="1"/>
      </colBreaks>
      <pageMargins left="0.75" right="0.75" top="1" bottom="1" header="0.5" footer="0.5"/>
      <pageSetup paperSize="9" orientation="landscape" r:id="rId2"/>
      <headerFooter alignWithMargins="0">
        <oddFooter>&amp;LLeongTY&amp;R&amp;F/&amp;A</oddFooter>
      </headerFooter>
    </customSheetView>
  </customSheetViews>
  <phoneticPr fontId="8" type="noConversion"/>
  <conditionalFormatting sqref="D10:I21 K10:O21 J10:J12 J14:J21">
    <cfRule type="expression" dxfId="7" priority="1" stopIfTrue="1">
      <formula>AND(D$9=$I$5,$C10=$G$5)</formula>
    </cfRule>
    <cfRule type="expression" dxfId="6" priority="2" stopIfTrue="1">
      <formula>OR(D$9=$I$5,$C10=$G$5)</formula>
    </cfRule>
  </conditionalFormatting>
  <conditionalFormatting sqref="G4:G5 I4:I5 D4:D6">
    <cfRule type="cellIs" dxfId="5" priority="3" stopIfTrue="1" operator="equal">
      <formula>""</formula>
    </cfRule>
  </conditionalFormatting>
  <conditionalFormatting sqref="M4:M5">
    <cfRule type="cellIs" dxfId="4" priority="4" stopIfTrue="1" operator="equal">
      <formula>""</formula>
    </cfRule>
  </conditionalFormatting>
  <conditionalFormatting sqref="D9:O9">
    <cfRule type="cellIs" dxfId="3" priority="5" stopIfTrue="1" operator="equal">
      <formula>$I$5</formula>
    </cfRule>
  </conditionalFormatting>
  <conditionalFormatting sqref="C10:C21">
    <cfRule type="cellIs" dxfId="2" priority="6" stopIfTrue="1" operator="equal">
      <formula>$G$5</formula>
    </cfRule>
  </conditionalFormatting>
  <conditionalFormatting sqref="J13">
    <cfRule type="expression" dxfId="1" priority="7" stopIfTrue="1">
      <formula>AND(J$9=$I$5,$C13=$G$5)</formula>
    </cfRule>
    <cfRule type="expression" dxfId="0" priority="8" stopIfTrue="1">
      <formula>OR(J$9=$I$5,$C13=$G$5)</formula>
    </cfRule>
  </conditionalFormatting>
  <pageMargins left="0.74803149606299213" right="0.74803149606299213" top="0.98425196850393704" bottom="0.98425196850393704" header="0.51181102362204722" footer="0.51181102362204722"/>
  <pageSetup paperSize="9" orientation="landscape" r:id="rId3"/>
  <headerFooter alignWithMargins="0">
    <oddFooter>&amp;LLeongTY&amp;R&amp;F/&amp;A</oddFooter>
  </headerFooter>
  <colBreaks count="1" manualBreakCount="1">
    <brk id="16" max="1048575" man="1"/>
  </colBreaks>
</worksheet>
</file>

<file path=docMetadata/LabelInfo.xml><?xml version="1.0" encoding="utf-8"?>
<clbl:labelList xmlns:clbl="http://schemas.microsoft.com/office/2020/mipLabelMetadata">
  <clbl:label id="{6951d41b-6b8e-4636-984f-012bff14ba18}" enabled="1" method="Standard" siteId="{c98a79ca-5a9a-4791-a243-f06afd67464d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Home</vt:lpstr>
      <vt:lpstr>Learn</vt:lpstr>
      <vt:lpstr>Data</vt:lpstr>
      <vt:lpstr>Scratch</vt:lpstr>
      <vt:lpstr>Working</vt:lpstr>
      <vt:lpstr>Influence</vt:lpstr>
      <vt:lpstr>Black-Box</vt:lpstr>
      <vt:lpstr>FormulaAudit</vt:lpstr>
      <vt:lpstr>Proto</vt:lpstr>
      <vt:lpstr>Demand</vt:lpstr>
      <vt:lpstr>Proto(2)</vt:lpstr>
      <vt:lpstr>Model</vt:lpstr>
      <vt:lpstr>Model(2)</vt:lpstr>
      <vt:lpstr>Tradeoff</vt:lpstr>
      <vt:lpstr>Sensitivity</vt:lpstr>
      <vt:lpstr>Home!Print_Area</vt:lpstr>
      <vt:lpstr>'Model(2)'!Print_Area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Leong Thin Yin</dc:creator>
  <cp:lastModifiedBy>Aldy GUNAWAN</cp:lastModifiedBy>
  <cp:lastPrinted>2009-11-11T08:20:31Z</cp:lastPrinted>
  <dcterms:created xsi:type="dcterms:W3CDTF">2006-03-26T07:28:37Z</dcterms:created>
  <dcterms:modified xsi:type="dcterms:W3CDTF">2024-08-17T14:32:33Z</dcterms:modified>
</cp:coreProperties>
</file>